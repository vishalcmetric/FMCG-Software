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4"/>
  <workbookPr/>
  <mc:AlternateContent xmlns:mc="http://schemas.openxmlformats.org/markup-compatibility/2006">
    <mc:Choice Requires="x15">
      <x15ac:absPath xmlns:x15ac="http://schemas.microsoft.com/office/spreadsheetml/2010/11/ac" url="C:\Users\a.bhavsar\OneDrive\Attachments\Zydus Wellness\C-metric Zydus documents\"/>
    </mc:Choice>
  </mc:AlternateContent>
  <xr:revisionPtr revIDLastSave="0" documentId="11_7752119642DC620F1717B880072E88DC13783574" xr6:coauthVersionLast="47" xr6:coauthVersionMax="47" xr10:uidLastSave="{00000000-0000-0000-0000-000000000000}"/>
  <bookViews>
    <workbookView xWindow="0" yWindow="0" windowWidth="28800" windowHeight="12315" xr2:uid="{00000000-000D-0000-FFFF-FFFF00000000}"/>
  </bookViews>
  <sheets>
    <sheet name="Summary" sheetId="2" r:id="rId1"/>
    <sheet name="Website Scope" sheetId="3" r:id="rId2"/>
    <sheet name="Assumptions" sheetId="4" r:id="rId3"/>
    <sheet name="Master List" sheetId="5" r:id="rId4"/>
  </sheets>
  <definedNames>
    <definedName name="_xlnm._FilterDatabase" localSheetId="0" hidden="1">Summary!#REF!</definedName>
    <definedName name="_xlnm._FilterDatabase" localSheetId="1" hidden="1">'Website Scope'!$A$1:$E$212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2" l="1"/>
  <c r="D14" i="2"/>
  <c r="D13" i="2"/>
  <c r="D12" i="2"/>
  <c r="D11" i="2"/>
  <c r="D9" i="2"/>
  <c r="D8" i="2"/>
  <c r="D7" i="2"/>
  <c r="D6" i="2"/>
  <c r="H213" i="3"/>
  <c r="D10" i="2" s="1"/>
  <c r="D16" i="2" l="1"/>
</calcChain>
</file>

<file path=xl/sharedStrings.xml><?xml version="1.0" encoding="utf-8"?>
<sst xmlns="http://schemas.openxmlformats.org/spreadsheetml/2006/main" count="468" uniqueCount="249">
  <si>
    <t>Date: 26-06-2024</t>
  </si>
  <si>
    <t>Sr No</t>
  </si>
  <si>
    <t>Description</t>
  </si>
  <si>
    <t>Hours</t>
  </si>
  <si>
    <t>Note: Do not change hours here as it's manage with formula.</t>
  </si>
  <si>
    <t>Project Management</t>
  </si>
  <si>
    <t>Project Architecture</t>
  </si>
  <si>
    <t>Database &amp; User Setup</t>
  </si>
  <si>
    <t>Requirement Gathering &amp; Documentation</t>
  </si>
  <si>
    <t>Development</t>
  </si>
  <si>
    <t>Design Setup</t>
  </si>
  <si>
    <t>Overall features</t>
  </si>
  <si>
    <t>QA Testing</t>
  </si>
  <si>
    <t>Cloud Configuration</t>
  </si>
  <si>
    <t>Other Integration</t>
  </si>
  <si>
    <t>Third party Integration</t>
  </si>
  <si>
    <t>Migration</t>
  </si>
  <si>
    <t>Deployment</t>
  </si>
  <si>
    <t>UAT, Production</t>
  </si>
  <si>
    <t>Total</t>
  </si>
  <si>
    <t>Man Months (Considered 1 resource)</t>
  </si>
  <si>
    <t>0 to 0 months approx.</t>
  </si>
  <si>
    <t>Technology Stack</t>
  </si>
  <si>
    <t>Front End</t>
  </si>
  <si>
    <t>Angular 11 or greater version</t>
  </si>
  <si>
    <t>Back End</t>
  </si>
  <si>
    <t>Dot Net Core Web API</t>
  </si>
  <si>
    <t>Database</t>
  </si>
  <si>
    <t>MSSql or MySql</t>
  </si>
  <si>
    <t>Hosting and cloud</t>
  </si>
  <si>
    <t>AWS/ GCP cloud</t>
  </si>
  <si>
    <t>Proposed Development Team</t>
  </si>
  <si>
    <t>Project Manager</t>
  </si>
  <si>
    <t>Frontend Developer (UI/UX)</t>
  </si>
  <si>
    <t>Backend Developer</t>
  </si>
  <si>
    <t>QA Engineer</t>
  </si>
  <si>
    <t>Business Analyst</t>
  </si>
  <si>
    <t>Assumptions and Quires</t>
  </si>
  <si>
    <t>Module Name</t>
  </si>
  <si>
    <t>Screen/Process Name</t>
  </si>
  <si>
    <t>Task</t>
  </si>
  <si>
    <t xml:space="preserve">Comments </t>
  </si>
  <si>
    <t>Integration</t>
  </si>
  <si>
    <t xml:space="preserve">Project Architecture </t>
  </si>
  <si>
    <t>Project Architecture and DB design</t>
  </si>
  <si>
    <t>Database design</t>
  </si>
  <si>
    <t xml:space="preserve">Frontend </t>
  </si>
  <si>
    <t>Frontend design- Customer</t>
  </si>
  <si>
    <t>Angular template implementation and HTML/CSS edition</t>
  </si>
  <si>
    <t>Frontend design- Admin</t>
  </si>
  <si>
    <t>Requirement Gathering</t>
  </si>
  <si>
    <t>WBS sheet, Client Communication</t>
  </si>
  <si>
    <t>Cloud &amp; Hosting Configurations</t>
  </si>
  <si>
    <t xml:space="preserve">Cloud &amp; Hosting </t>
  </si>
  <si>
    <t>Cloud &amp; Hosting Configurations will be manage by the client only</t>
  </si>
  <si>
    <t>Testing</t>
  </si>
  <si>
    <t xml:space="preserve">   </t>
  </si>
  <si>
    <t>UAT Configuration and Release</t>
  </si>
  <si>
    <t>Production Configuration and Release</t>
  </si>
  <si>
    <t>Migrate existing content to new website</t>
  </si>
  <si>
    <t xml:space="preserve">SMS integration
Email integration
CRM integration
SEO optimized
PCI compliant
SSL certified
Shopify or eboo payment integration 
Cybersource integration
CDS system integration
Postal Track and Trace System integration
Google Analytics 
Google XML
Site-plan Generation </t>
  </si>
  <si>
    <t>Admin</t>
  </si>
  <si>
    <t xml:space="preserve">Login </t>
  </si>
  <si>
    <t>Login into the system</t>
  </si>
  <si>
    <t>User will log in using valid Email ID / Employeee ID and password. System will authenticate credentials and redirect the user to the dashboard upon successful login.</t>
  </si>
  <si>
    <t>User Management</t>
  </si>
  <si>
    <t>Listing of users</t>
  </si>
  <si>
    <t>Admin will be able to view the list of all users. Listing will include Employee Code, Employee Name, Department, Designation, Reporting Manager, User Type, Account Status, and action buttons (View, Edit, Activate, Deactivate).</t>
  </si>
  <si>
    <t>Create new user</t>
  </si>
  <si>
    <t>Admin will be able to create a new user by entering required details includinh employee code, employee name, email id, department, designation, reporting manager, user type and login credentials.</t>
  </si>
  <si>
    <t>Edit user</t>
  </si>
  <si>
    <t>Admin will be able to update selected user details such as Department, Designation, Reporting Manager and user role. Other restricted fields will not be editable.</t>
  </si>
  <si>
    <t>Active/Deactive user</t>
  </si>
  <si>
    <t>Admin will be able to activate or deactive user accounts using a toggle option. Deactive users will not be allowed to log in to the system.</t>
  </si>
  <si>
    <t>User Handover Management</t>
  </si>
  <si>
    <t>Admin will be able to reassign ownership of projects, docuements and tasks when a user exits the organization, change role or is on extended leave.</t>
  </si>
  <si>
    <t>Role &amp; Permission management</t>
  </si>
  <si>
    <t>Role Master</t>
  </si>
  <si>
    <t>Admin will be able to create, edit and manage roles within the system</t>
  </si>
  <si>
    <t>Permission manager</t>
  </si>
  <si>
    <t>Admin will be able to assign module-wise and action wise permissions i.e., view, create, edit, submit, approve, rework to the roles.</t>
  </si>
  <si>
    <t>Master data management</t>
  </si>
  <si>
    <t>Brand master</t>
  </si>
  <si>
    <t>Admin will be able to create, update and active/deactive brands. Fileds will include Brand ID and Brand name.</t>
  </si>
  <si>
    <t>Project type master</t>
  </si>
  <si>
    <t>Admin will be able to create, update and activate/deactivate project types. Fields will include Project type ID and Project type name.</t>
  </si>
  <si>
    <t>Dropdown master</t>
  </si>
  <si>
    <t>Admin will manage all system dropdown values such as Departments, Designations, Status, Document Types and Categories.</t>
  </si>
  <si>
    <t>Raw Material master</t>
  </si>
  <si>
    <t>Admin will be able to create, update and activate/deactive Raw materials. Fields will include Brand name, Ingredient name, INCI name and material code.</t>
  </si>
  <si>
    <t>Email template master</t>
  </si>
  <si>
    <t>Admin will be able to create and manage email templates for system notifications with dynamic placeholders.</t>
  </si>
  <si>
    <t>Workflow Congifuration</t>
  </si>
  <si>
    <t>Approval workflow</t>
  </si>
  <si>
    <t>Admin will be able to configure and update approval workflows based on project type, department and hierarchy.</t>
  </si>
  <si>
    <t>Mandatory check control</t>
  </si>
  <si>
    <t>System will enforce mandatory check/confirmation before submission, considering the tasks as completed from the respective user.</t>
  </si>
  <si>
    <t>Audit &amp; logs</t>
  </si>
  <si>
    <t>Access logs</t>
  </si>
  <si>
    <t>System will capture login, logput, idle timeout and duplicate login activities for all users.</t>
  </si>
  <si>
    <t>System Audit logs</t>
  </si>
  <si>
    <t>System will capture  create, update, delete actions, approval actions and workflow status changes for audit procss.</t>
  </si>
  <si>
    <t>Audit report export</t>
  </si>
  <si>
    <t>Admin will be able to view and export audit logs and activity reports.</t>
  </si>
  <si>
    <t>Archive management</t>
  </si>
  <si>
    <t>Archive &amp; History data</t>
  </si>
  <si>
    <t>Admin will manage archiving of complete projects and historical data with search and retrival capabilitiy.</t>
  </si>
  <si>
    <t>Reporting</t>
  </si>
  <si>
    <t>System reports</t>
  </si>
  <si>
    <t>Admin will be able to view system usage, user activity and workflow performance reports.</t>
  </si>
  <si>
    <t>Source Team</t>
  </si>
  <si>
    <t>Source team will login into system using valid credentials provided.
User will login using Email ID/Employee ID and password.
By clicking on login button, it will validate ID and password and upon sucessful verification redirects user to the dashboard.</t>
  </si>
  <si>
    <t>Forgot Password button</t>
  </si>
  <si>
    <t>By clicking on forgot password button, it will redirect user to enter the email ID.
If email ID is verified then it will share an verification code via email and will allow user to set a new password.
If email ID is not verified then, it will throw an error with validation message</t>
  </si>
  <si>
    <t>Set new password</t>
  </si>
  <si>
    <t>Here user will set the new password by entering new password and confirm new password.</t>
  </si>
  <si>
    <t>Reset password button</t>
  </si>
  <si>
    <t>By clicking on reset password button, new password will be changed and it will notify to user via email and user redirects to login screen.</t>
  </si>
  <si>
    <t>Email integration</t>
  </si>
  <si>
    <t>Dashboard</t>
  </si>
  <si>
    <t>Homepage</t>
  </si>
  <si>
    <t>User redirected to dashboard, it consists of create new PPDs button and listing of existing PPDs.</t>
  </si>
  <si>
    <t>Create new PPD button</t>
  </si>
  <si>
    <r>
      <t xml:space="preserve">User will create the new PPD by filling the form. 
</t>
    </r>
    <r>
      <rPr>
        <b/>
        <sz val="12"/>
        <color rgb="FF000000"/>
        <rFont val="Calibri"/>
        <family val="2"/>
        <scheme val="minor"/>
      </rPr>
      <t>Please review the Form1 from Zydus Wellness Form overview.</t>
    </r>
  </si>
  <si>
    <t>Save as draft button</t>
  </si>
  <si>
    <t>By clicking save as draft button, the PPD form will check all the validations of required field and save the form successfully with success toast message.
Once the PPD is saved as draft, the PPD will be shared with Project Management Team and it will redirect user to the dashboard page where they will find the created PPD in listing table.</t>
  </si>
  <si>
    <t>Listing of PPDs</t>
  </si>
  <si>
    <t>User will see the listing of PPDs that are created.
Listing includes: Project name, project type, date, created by, approval status, project status, and action button [View &amp; Edit]
Filters, Search &amp; Sorting
There will be created date, project type, project status and approval status filters.
There will be search filed which will allow user to search by project name and created by name.
There will be alphabetical sorting on project name and date wise sorting on date column.</t>
  </si>
  <si>
    <t>View PPD</t>
  </si>
  <si>
    <t>By clicking on view button from action, it will allow user to view the PPD form that is saved as draft or submitted for approval.</t>
  </si>
  <si>
    <t>Edit PPD</t>
  </si>
  <si>
    <t>By clicking on edit button from action, it will allow user to edit all the fields of PPD form. 
User can edit the PPD only in draft status, upon submission for approval system should hide the edit button automatically.
Once the changes are made the PPD can be saved as draft or can be submitted for approval.</t>
  </si>
  <si>
    <t>Rework handling</t>
  </si>
  <si>
    <t>User will be notified via system notification and email if PPD is sent back to rework.</t>
  </si>
  <si>
    <t>Submit PPD for Approval</t>
  </si>
  <si>
    <r>
      <t xml:space="preserve">Once all the rework and necessary changes are made, then the user will select the management committee members into form and will </t>
    </r>
    <r>
      <rPr>
        <b/>
        <sz val="12"/>
        <color rgb="FF000000"/>
        <rFont val="Calibri"/>
        <family val="2"/>
        <scheme val="minor"/>
      </rPr>
      <t>save and submit the final PPD for approval</t>
    </r>
    <r>
      <rPr>
        <sz val="12"/>
        <color rgb="FF000000"/>
        <rFont val="Calibri"/>
        <family val="2"/>
        <scheme val="minor"/>
      </rPr>
      <t xml:space="preserve">. 
</t>
    </r>
    <r>
      <rPr>
        <b/>
        <sz val="12"/>
        <color rgb="FF000000"/>
        <rFont val="Calibri"/>
        <family val="2"/>
        <scheme val="minor"/>
      </rPr>
      <t>Please review the Form2 from Zydus Wellness Form overview.</t>
    </r>
  </si>
  <si>
    <t>System notification</t>
  </si>
  <si>
    <t>There will be notification icon on the dashboard which will show the number of notifications i.e.,
Approved: Here user will be able to see all the PPDs that is approved.
Rework: Here user will be able to see all the PPDs that is sent back to rework, by clicking on notification it will redirect user to view PPD page where they will be able to see reason stated for rework.</t>
  </si>
  <si>
    <t>Project Management Team</t>
  </si>
  <si>
    <t>Project management team will login into system using valid credentials provided.
User will login using Email ID/Employee ID and password.
By clicking on login button, it will validate ID and password and upon sucessful verification redirects user to the dashboard.</t>
  </si>
  <si>
    <t>User redirected to dashboard, it consists of  listing of PPDs.</t>
  </si>
  <si>
    <t>User will see the listing of PPDs that are created.
Listing includes: Project name, project type, date, created by, approval status, project status, and action button [View &amp; Assign]
Filters, Search &amp; Sorting
There will be created date, project type, project status and approval status filters.
There will be search filed which will allow user to search by project name and created by name.
There will be alphabetical sorting on project name and date wise sorting on date column.</t>
  </si>
  <si>
    <t>By clicking on view button from action, it will allow user to view the PPD form that is saved as draft for review purpose.
Project management team will review the PPD for scope, feasibility and planning aspects. Also additionally decides which other teams will be involved.</t>
  </si>
  <si>
    <t>View PPD -&gt; Assign Team members</t>
  </si>
  <si>
    <t>By clicking on assign button from action, it will allow user to assign the other team members. 
Upon clicking on assign button a popup will appear where user will be allowed to select the relevant and multiple teams with their respective team members for the PPD assignment.
Once user selects the teams and team members, there will be an assign button.
By clicking on assign button, all the selected team members will be notified.</t>
  </si>
  <si>
    <t>View PPD -&gt; View formulation Development form</t>
  </si>
  <si>
    <r>
      <t xml:space="preserve">Once the FD trial is approved by R&amp;D head, user will have to conduct sensory evaluation of the formulation.
</t>
    </r>
    <r>
      <rPr>
        <b/>
        <sz val="12"/>
        <color rgb="FF000000"/>
        <rFont val="Calibri"/>
        <family val="2"/>
        <scheme val="minor"/>
      </rPr>
      <t>Once the sensory evaluation report is prepared, user will upload &amp; submit the report for approval.</t>
    </r>
  </si>
  <si>
    <t>There will be notification icon on the dashboard which will show the number of notifications i.e.,
User will receives the notification, once the draft PPD is send by source team.
User will receives the notification, once all the departmental reviews are submitted.
User will receives the notification, once the final submitted PPD is approved by CEO to intiate the final project implementation process.
User will receive the notification, once the FD is approved by R&amp;D Head.</t>
  </si>
  <si>
    <t>Functional Team [Departments Head]</t>
  </si>
  <si>
    <t>Functional team members i.e., Departments head will login into system using valid credentials provided.
User will login using Email ID/Employee ID and password.
By clicking on login button, it will validate ID and password and upon sucessful verification redirects user to the dashboard.</t>
  </si>
  <si>
    <t>Forgot password button</t>
  </si>
  <si>
    <t>User redirected to dashboard, it consists of listing of PPDs.</t>
  </si>
  <si>
    <t>User will see the listing of PPDs that are created.
Listing includes: Project name, created by, created date &amp; time, approval status, rework details, project status, and action button [View &amp; Assign]
Filters, Search &amp; Sorting
There will be created date, project type, project status and approval status filters.
There will be search filed which will allow user to search by project name and created by name.
There will be alphabetical sorting on project name and date wise sorting on date column.</t>
  </si>
  <si>
    <t>By clicking on view button from action, it will allow user to view the draftPPD form that is submitted for review.
Here user will be able to review the PPD that is shared by project management team.
There will be an Submit review action button on view page.</t>
  </si>
  <si>
    <t>Submit review</t>
  </si>
  <si>
    <t xml:space="preserve">User will be provided with the rich text box for submitting the review.
User will be allowed to add the images, videos, links and attach any documents if required.
User will be provided with 3 action button i.e., Save, Submit and cancel.
User can save their feedback by clicking on save button.
Saved review will be editable.
By clicking on cancel button, the entered review of saved review will be discarded, and allow user to add new feedback.
Upon sucessful completion of adding feedback, user will submit the review by clicking on submit button.
User will also see the section of submitted reviews by assinged team members.
User will review the consolidated feedback by the team members, add final remaks if any required and submit the final departmental review.  </t>
  </si>
  <si>
    <t xml:space="preserve">Assing Team members </t>
  </si>
  <si>
    <t>User will be allowed to assign team members for detailed overview.
By clicking on assign action button a popup will appear where user will be allowed to select the multiple team members from their team only.</t>
  </si>
  <si>
    <t>There will be notification icon on the dashboard which will show the number of notifications i.e.,
User will receives the notification, once the PPD is assigned by the Project Management team.
User will receives the notification, once all the departmental reviews are submitted.
User will receives the notification, once the final submitted PPD is approved by CEO to intiate the final project implementation process.</t>
  </si>
  <si>
    <t>Functional Team              [Departments Team members]</t>
  </si>
  <si>
    <t>Functional team members i.e., Departments team members will login into system using valid credentials provided.
User will login using Email ID/Employee ID and password.
By clicking on login button, it will validate ID and password and upon sucessful verification redirects user to the dashboard.</t>
  </si>
  <si>
    <t>User will see the listing of PPDs that are created.
Listing includes: Project name, created by, created date &amp; time, approval status, rework details, project status, and action button [View]
Filters, Search &amp; Sorting
There will be created date, project type, project status and approval status filters.
There will be search filed which will allow user to search by project name and created by name.
There will be alphabetical sorting on project name and date wise sorting on date column.</t>
  </si>
  <si>
    <t>User will be provided with the rich text box for submitting the review.
User will be allowed to add the images, videos, links and attach any documents if required.
User will be provided with 3 action button i.e., Save, Submit and cancel.
User can save their feedback by clicking on save button.
Saved review will be editable.
By clicking on cancel button, the entered review of saved review will be discarded, and allow user to add new feedback.
Upon sucessful completion of adding feedback, user will submit the review by clicking on submit button.</t>
  </si>
  <si>
    <t>There will be notification icon on the dashboard which will show the number of notifications i.e.,
User will receives the notification, once the PPD is assigned to them for detailed review process.
User will receives the notification, once the final submitted PPD is approved by CEO to intiate the final project implementation process.</t>
  </si>
  <si>
    <t>Management Committee [Marketing Head, Sales Head, R&amp;D Head, GDSO Head, Regulatory Head,   CFO]</t>
  </si>
  <si>
    <t>Management Committee  i.e., Marketing Head, Sales Head, R&amp;D Head, GDSO Head, Regulatory Head and CFO  each user will login into system using valid credentials provided.
User will login using Email ID/Employee ID and password.
By clicking on login button, it will validate ID and password and upon sucessful verification redirects user to the dashboard.</t>
  </si>
  <si>
    <t>By clicking on view button from action, it will allow user to view the final PPD form that is submitted for review.
Each user reviews the PPD independently which is shared by source team.
Here each user will be provided with 2 action button i.e., Approve PPD and Sent to rework.</t>
  </si>
  <si>
    <t>Approve PPD</t>
  </si>
  <si>
    <t>By clikcing the Approve PPD button, the final PPD will be approved by the user.
Once the PPD is approved by all the user then it is send to CEO for approval.</t>
  </si>
  <si>
    <t>Rework PPD</t>
  </si>
  <si>
    <t>By clicking the Rework button, user will be asked to specify the proper reason for sending the PPD back to rework. User can also add images or attach any documents that are necessary and relevant to the project.</t>
  </si>
  <si>
    <t>There will be notification icon on the dashboard which will show the number of notifications i.e.,
User will receives the notification, once the PPD is assigned to them.
User will receives the notification, once the final submitted PPD is approved by CEO.</t>
  </si>
  <si>
    <t>CEO</t>
  </si>
  <si>
    <t>CEO logs into system using valid credentials provided.
User will login using Email ID/Employee ID and password.
By clicking on login button, it will validate ID and password and upon sucessful verification redirects user to the dashboard.</t>
  </si>
  <si>
    <t>User redirected to dashboard, it consists of listing of existing PPDs.</t>
  </si>
  <si>
    <t>By clicking on view button from action, it will allow user to view the PPD form that is submitted for approval.
Here user will be able to review the PPD that is submitted by source team.
There will be 2 action button on view page Approve &amp; Rework.
If everything is found statisfactory then user will Approve the PPD or if sometings needs to be changed then they will send back for rework.</t>
  </si>
  <si>
    <t>Upon clicking the Approve button, the PPD is approved by the CEO. The system then automatically notify the F&amp;D department head via email for further process. Simultaneously, the Source team, R&amp;D team and Regulatory team is also notified that the PPD has been approved by the CEO and has been forwarded to the F&amp;D Department for further process and user is redirected back to the listing of PPD page.</t>
  </si>
  <si>
    <t>There will be notification icon on the dashboard which will show the number of notifications i.e.,
User will receives the notification, once the PPD is assigned to them.</t>
  </si>
  <si>
    <t>F&amp;D team member</t>
  </si>
  <si>
    <t>Team members will logs into system using valid credentials provided.
User will login using Email ID/Employee ID and password.
By clicking on login button, it will validate ID and password and upon sucessful verification redirects user to the dashboard.</t>
  </si>
  <si>
    <t>User redirected to dashboard, it consists of Dashboard summary, project assignment table, status &amp; timeline tracking.</t>
  </si>
  <si>
    <t>Dashboard summary</t>
  </si>
  <si>
    <t>User will see the various Dashboard summary  i.e., 
a. Projects assigned
b. Pending tasks
c. Upcoming deadlines</t>
  </si>
  <si>
    <t>By clicking on view button from action, it will allow user to view the Project details.
There will be an work upload &amp; submission section here, where user can upload any relevant documents that are necessary for future use.</t>
  </si>
  <si>
    <t>View PPD -&gt; Work upload/submissions</t>
  </si>
  <si>
    <r>
      <t xml:space="preserve">Here, user will fillout the LabNote Book form overview which will consists of following sections i.e., AVD, Innovation, Sustainability, Cost Reduction and Product Improvement.
</t>
    </r>
    <r>
      <rPr>
        <b/>
        <sz val="12"/>
        <color rgb="FF000000"/>
        <rFont val="Calibri"/>
        <family val="2"/>
        <scheme val="minor"/>
      </rPr>
      <t>Please review the Form4 from Zydus Wellness Form overview.</t>
    </r>
    <r>
      <rPr>
        <sz val="12"/>
        <color rgb="FF000000"/>
        <rFont val="Calibri"/>
        <family val="2"/>
        <scheme val="minor"/>
      </rPr>
      <t xml:space="preserve">
There will be upload document functionality for more other documents i.e., Literature search, Benchmarking, Ingredient search, Design of experiment for formulation trials and Regulatory confirmation that will be uploaded by team members.
</t>
    </r>
    <r>
      <rPr>
        <b/>
        <sz val="12"/>
        <color rgb="FF000000"/>
        <rFont val="Calibri"/>
        <family val="2"/>
        <scheme val="minor"/>
      </rPr>
      <t xml:space="preserve">
Once all the forms and documents are filled out and uploaded user will start with execution of formulation trials.</t>
    </r>
  </si>
  <si>
    <t>Formulation trial form</t>
  </si>
  <si>
    <r>
      <t xml:space="preserve">Here, user will fillout the Formulation Trials form.
User will be allowed to fill different forms for each trials. User needs to save each trials.
There will be an submit button with each saved trial, user will submit the final trial version to R&amp;D head for approval.
</t>
    </r>
    <r>
      <rPr>
        <b/>
        <sz val="12"/>
        <color rgb="FF000000"/>
        <rFont val="Calibri"/>
        <family val="2"/>
        <scheme val="minor"/>
      </rPr>
      <t>Please review the Form5 from Zydus Wellness Form overview.</t>
    </r>
  </si>
  <si>
    <t>Status/Timeline tracking</t>
  </si>
  <si>
    <t>Here user will be able to see their project status &amp; timeline/deadline to keep track of their tasks.</t>
  </si>
  <si>
    <t>There will be notification icon on the dashboard which will show the number of notifications i.e.,
User will receives the notification, once the PPD is assigned to them.
User will receive the notification, once the FD is approved by R&amp;D Head.</t>
  </si>
  <si>
    <t>R&amp;D Head</t>
  </si>
  <si>
    <t>R&amp;D Head will logs into system using valid credentials provided.
User will login using Email ID/Employee ID and password.
By clicking on login button, it will validate ID and password and upon sucessful verification redirects user to the dashboard.</t>
  </si>
  <si>
    <t>Project assignment table</t>
  </si>
  <si>
    <t>User will see the listing of Projects that are assigned to them.
Listing includes: Project name, assigned date, role, priority, timeline/deadline and action button [View].
Filters, Search &amp; Sorting
There will be created date, project type, project status and approval status filters.
There will be search filed which will allow user to search by project name and created by name.
There will be alphabetical sorting on project name and date wise sorting on date column.</t>
  </si>
  <si>
    <r>
      <t xml:space="preserve">By clicking on view button from action, it will allow user to view the Project details.
</t>
    </r>
    <r>
      <rPr>
        <b/>
        <sz val="12"/>
        <color rgb="FF000000"/>
        <rFont val="Calibri"/>
        <family val="2"/>
        <scheme val="minor"/>
      </rPr>
      <t>There will be an work upload &amp; submission section here, where user can upload any relevant documents that are necessary for future use.</t>
    </r>
  </si>
  <si>
    <t>View PPD -&gt; View Formulation Development form</t>
  </si>
  <si>
    <t>Here user will be able to see the final trial submit by F&amp;D team for approval.
There will be an 2 action button i.e., Approve and Rework.
By clicking on Approve button it will approve the FD trial.
By clicking on rework button it will send the FD trial back to the F&amp;D team. User needs to add the necessary remakrs for marking it to rework.
Upon successful approval of FD trial, the downstream evaluation is taken by various teams.</t>
  </si>
  <si>
    <t>There will be notification icon on the dashboard which will show the number of notifications i.e.,
User will receives the notification, once the FD trial is submitted for approval.
User will receives the notification, once the evaluation documents are uploaded by respective teams.</t>
  </si>
  <si>
    <t>Packaging Team</t>
  </si>
  <si>
    <t>Packaging team will logs into system using valid credentials provided.
User will login using Email ID/Employee ID and password.
By clicking on login button, it will validate ID and password and upon sucessful verification redirects user to the dashboard.</t>
  </si>
  <si>
    <t>By clicking on view button from action, it will allow user to view the Project details.</t>
  </si>
  <si>
    <r>
      <t xml:space="preserve">Here user will be able to see the final trial submit by F&amp;D team.
Based on the FD form, user will perform tentative costing and packaging feasibility analysis.
</t>
    </r>
    <r>
      <rPr>
        <b/>
        <sz val="12"/>
        <color rgb="FF000000"/>
        <rFont val="Calibri"/>
        <family val="2"/>
        <scheme val="minor"/>
      </rPr>
      <t>Once the documents are prepared, user will upload the document and submit the insights.</t>
    </r>
  </si>
  <si>
    <t>Regulatory Team</t>
  </si>
  <si>
    <t>Regulatory team will login into system using valid credentials provided.
User will login using Email ID/Employee ID and password.
By clicking on login button, it will validate ID and password and upon sucessful verification redirects user to the dashboard.</t>
  </si>
  <si>
    <r>
      <t xml:space="preserve">Here user will be able to see the final trial submit by F&amp;D team.
Based on the FD form, user will conduct detailed regulatory compliance check. Also validate ingridents and formulations
</t>
    </r>
    <r>
      <rPr>
        <b/>
        <sz val="12"/>
        <color rgb="FF000000"/>
        <rFont val="Calibri"/>
        <family val="2"/>
        <scheme val="minor"/>
      </rPr>
      <t>Once the documents are prepared, user will upload the document and submit the insights.</t>
    </r>
  </si>
  <si>
    <t>Scientific Affairs Team</t>
  </si>
  <si>
    <t>Scientific Affairs team will login into system using valid credentials provided.
User will login using Email ID/Employee ID and password.
By clicking on login button, it will validate ID and password and upon sucessful verification redirects user to the dashboard.</t>
  </si>
  <si>
    <r>
      <t xml:space="preserve">Here user will be able to see the final trial submit by F&amp;D team.
Based on the FD form, user will perform claim substanciation analysis and upload the supporting documents and evidence.
</t>
    </r>
    <r>
      <rPr>
        <b/>
        <sz val="12"/>
        <color rgb="FF000000"/>
        <rFont val="Calibri"/>
        <family val="2"/>
        <scheme val="minor"/>
      </rPr>
      <t>Once the documents are prepared, user will upload the document and submit the insights.</t>
    </r>
  </si>
  <si>
    <t>Industry/Pilot trial personnel                [Production Team]</t>
  </si>
  <si>
    <t>Production team will login into system using valid credentials provided.
User will login using Email ID/Employee ID and password.
By clicking on login button, it will validate ID and password and upon sucessful verification redirects user to the dashboard.</t>
  </si>
  <si>
    <t>User redirected to dashboard, it consists of listing of final Formulation documents.</t>
  </si>
  <si>
    <t>Listing of FDs</t>
  </si>
  <si>
    <t>User will see the listing of formulation documents that are submitted for pilot trial.
Listing includes: Project name, created by, created date &amp; time, approval status, rework details, project status, and action button [View]
Filters, Search &amp; Sorting
There will be created date, project type, project status and approval status filters.
There will be search filed which will allow user to search by project name and created by name.
There will be alphabetical sorting on project name and date wise sorting on date column.</t>
  </si>
  <si>
    <t>View FDs</t>
  </si>
  <si>
    <t>View FDs -&gt; Pilot trial reports</t>
  </si>
  <si>
    <r>
      <t xml:space="preserve">Here user will be able to see the final trial submit by F&amp;D team.
Based on the FD submitted, user will conduct the pilot trials based on the approved formulation.
Once the trial is completed, various reports are generated/uploaded and submitted by the user for approval to R&amp;D Head.
The reports are: Stability batch report, TRF, COA, Sensory report and Stability report.
Once all the above mentioned reports are approved by R&amp;D head, the production team and Packaging team will simultaneouly work and generate or upload the following documents based on the requirements.
</t>
    </r>
    <r>
      <rPr>
        <b/>
        <sz val="12"/>
        <color rgb="FF000000"/>
        <rFont val="Calibri"/>
        <family val="2"/>
        <scheme val="minor"/>
      </rPr>
      <t xml:space="preserve">The production team will generate and upload the following forms: </t>
    </r>
    <r>
      <rPr>
        <sz val="12"/>
        <color rgb="FF000000"/>
        <rFont val="Calibri"/>
        <family val="2"/>
        <scheme val="minor"/>
      </rPr>
      <t xml:space="preserve">
- BOM code
- MFC
- Production details/Artwork
- Specifications
</t>
    </r>
    <r>
      <rPr>
        <b/>
        <sz val="12"/>
        <color rgb="FF000000"/>
        <rFont val="Calibri"/>
        <family val="2"/>
        <scheme val="minor"/>
      </rPr>
      <t>The packaging team will generate and upload the following forms:</t>
    </r>
    <r>
      <rPr>
        <sz val="12"/>
        <color rgb="FF000000"/>
        <rFont val="Calibri"/>
        <family val="2"/>
        <scheme val="minor"/>
      </rPr>
      <t xml:space="preserve">
- SFG Code
- PKG BOM
</t>
    </r>
    <r>
      <rPr>
        <b/>
        <sz val="12"/>
        <color rgb="FF000000"/>
        <rFont val="Calibri"/>
        <family val="2"/>
        <scheme val="minor"/>
      </rPr>
      <t>The Regulatory team will generate and upload the following report:</t>
    </r>
    <r>
      <rPr>
        <sz val="12"/>
        <color rgb="FF000000"/>
        <rFont val="Calibri"/>
        <family val="2"/>
        <scheme val="minor"/>
      </rPr>
      <t xml:space="preserve">
- License application
- Clinical report
</t>
    </r>
    <r>
      <rPr>
        <b/>
        <sz val="12"/>
        <color rgb="FF000000"/>
        <rFont val="Calibri"/>
        <family val="2"/>
        <scheme val="minor"/>
      </rPr>
      <t xml:space="preserve">
Please review the Form 6 to 13 from Zydus Wellness Form overview.</t>
    </r>
  </si>
  <si>
    <t>Technical Team</t>
  </si>
  <si>
    <t>Technical team will login into system using valid credentials provided.
User will login using Email ID/Employee ID and password.
By clicking on login button, it will validate ID and password and upon sucessful verification redirects user to the dashboard.</t>
  </si>
  <si>
    <r>
      <t xml:space="preserve">Here user will be able to see the final pilot trial output submitted by Production team.
Based on the Pilot trial submitted, user will perform the stability checks reports, commercial run reports and plain trial report.
</t>
    </r>
    <r>
      <rPr>
        <b/>
        <sz val="12"/>
        <color rgb="FF000000"/>
        <rFont val="Calibri"/>
        <family val="2"/>
        <scheme val="minor"/>
      </rPr>
      <t>Once all the report and generated and uploaded by the Techanical team the project here is marked as completed.</t>
    </r>
  </si>
  <si>
    <t>There will be notification icon on the dashboard which will show the number of notifications i.e.,
User will receives the notification, once the Pilot trial is submitted.</t>
  </si>
  <si>
    <t>Assumptions, Requirements and Quires</t>
  </si>
  <si>
    <t>The system will be developed as a non-responsive web application and shall be optimized for desktop usage only.</t>
  </si>
  <si>
    <t>System access will be restricted to official office devices only and shall be enforced using machine ID–based access control, allowing access from any Wi-Fi network.</t>
  </si>
  <si>
    <t>The application will support approximately 50–60 employee logins.</t>
  </si>
  <si>
    <t>Single Sign-On (SSO) will not be required.</t>
  </si>
  <si>
    <t>User sessions will automatically expire after 5 minutes of inactivity, and the system shall log out users without any user action.</t>
  </si>
  <si>
    <t>Duplicate or concurrent logins will not be allowed, and any new login shall automatically log out the previously active session.</t>
  </si>
  <si>
    <t>Media upload functionality will be available throughout the system, allowing users to upload: 
- Images and documents 
- Videos up to 30 MB 
- External video links via OneDrive and YouTube</t>
  </si>
  <si>
    <t>A complete Audit Trail and Change Log will be maintained, and the system shall track all changes, approvals, and user activities.</t>
  </si>
  <si>
    <t>The system will support end-to-end processes for PPD, Benchmarking, F&amp;D, Packaging, ADL, and PM &amp; SA within a single integrated platform.</t>
  </si>
  <si>
    <t>A role-based Dashboard will be provided and shall display the real-time status of each project and its current stage.</t>
  </si>
  <si>
    <t>The existing physical lab book process will be digitized into an E-Lab Notebook, and all formulation, experimentation, and observations shall be recorded electronically.</t>
  </si>
  <si>
    <t xml:space="preserve">Formula creation and other forms will support a “Save as Draft” option, and users shall be able to create and manage multiple formula versions. </t>
  </si>
  <si>
    <t>Formula records will support fixed structured forms, rich-text inputs, and multiple file uploads.</t>
  </si>
  <si>
    <t>The system will allow comparison of 4–5 formulas or forms simultaneously to support evaluation and decision-making.</t>
  </si>
  <si>
    <t>A Print and Merge feature will be available for formulation records, allowing users to select multiple documents and generate a single merged printable output.</t>
  </si>
  <si>
    <t>SAP integration will be implemented, where PM codes, BOM codes, and other master codes shall be managed and synchronized from SAP.</t>
  </si>
  <si>
    <t>Karomi will be integrated for artwork management, and artwork-related data shall be maintained within the system.</t>
  </si>
  <si>
    <t>Third-party integrations will be required, including email services for system-generated notification alerts, and the client shall confirm the preferred email service provider, configuration details, and access credentials for integration. (Please let us know or We will let you know if any other third-party integration is required)</t>
  </si>
  <si>
    <t>The system will maintain complete historical data, and older projects and records shall be moved to an Archive folder.</t>
  </si>
  <si>
    <t>Every user will be required to confirm task completion using a mandatory check button before submission, and the system shall treat this action as task completion.</t>
  </si>
  <si>
    <t>The Project Manager will add required data and submit final reports, and once all mandatory submissions are completed, the project shall be marked as completed.</t>
  </si>
  <si>
    <t>In the event of an employee exit, role change, or extended leave, the system will support structured handover of projects, data, and task allocations to another user, with full traceability.</t>
  </si>
  <si>
    <t>AI: AI-based formulation trial analysis will be implemented, and the system shall analyse historical and current formulation trial data to identify patterns, compare trial outcomes, recommend optimized formulations, and support data-driven decision-making during formulation development.</t>
  </si>
  <si>
    <t>AI: AI Assistance from documents search (Advanced historical search functionality) will be provided to retrieve archived and active project data.</t>
  </si>
  <si>
    <t>Based on the defined project workflow and system requirements, we request you to please coordinate with your IT team and share the proposed server infrastructure and environment configuration details. 
The details should include, but not be limited to: 
1. Deployment environment (On-premise / Cloud / Hybrid) 
2. Server specifications (CPU cores, RAM, storage capacity) 
3. Storage configuration considering document, image, and video uploads 
4. Expected number of total users and concurrent active users 
5. File upload size limits and estimated monthly data growth 
6. Network bandwidth and access controls 
7. Security standards and compliance requirements 
8. Backup, archival, and disaster recovery strategy 
9. Scalability requirements for future growth 
10. Infrastructure considerations for AI-based formulation trial analysis</t>
  </si>
  <si>
    <t>User master</t>
  </si>
  <si>
    <t>Raw material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</si>
</sst>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b/>
      <sz val="12"/>
      <color theme="1"/>
      <name val="Calibri"/>
      <family val="2"/>
      <scheme val="minor"/>
    </font>
    <font>
      <sz val="14"/>
      <color rgb="FF000000"/>
      <name val="Calibri"/>
      <family val="2"/>
      <scheme val="minor"/>
    </font>
    <font>
      <b/>
      <sz val="14"/>
      <color theme="1"/>
      <name val="Calibri"/>
      <family val="2"/>
      <scheme val="minor"/>
    </font>
    <font>
      <b/>
      <sz val="14"/>
      <color rgb="FF000000"/>
      <name val="Calibri"/>
      <family val="2"/>
      <scheme val="minor"/>
    </font>
    <font>
      <sz val="12"/>
      <color theme="1"/>
      <name val="Calibri"/>
      <family val="2"/>
      <scheme val="minor"/>
    </font>
    <font>
      <sz val="12"/>
      <color rgb="FF000000"/>
      <name val="Calibri"/>
      <family val="2"/>
      <scheme val="minor"/>
    </font>
    <font>
      <sz val="14"/>
      <color theme="5" tint="0.79998168889431442"/>
      <name val="Calibri"/>
      <family val="2"/>
      <scheme val="minor"/>
    </font>
    <font>
      <b/>
      <sz val="16"/>
      <color theme="1"/>
      <name val="Calibri"/>
      <family val="2"/>
      <scheme val="minor"/>
    </font>
    <font>
      <b/>
      <sz val="12"/>
      <color rgb="FF00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theme="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tint="-0.14999847407452621"/>
        <bgColor indexed="64"/>
      </patternFill>
    </fill>
  </fills>
  <borders count="31">
    <border>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9">
    <xf numFmtId="0" fontId="0" fillId="0" borderId="0" xfId="0"/>
    <xf numFmtId="0" fontId="0" fillId="2" borderId="0" xfId="0" applyFill="1" applyAlignment="1">
      <alignment horizontal="center" vertical="top"/>
    </xf>
    <xf numFmtId="0" fontId="0" fillId="2" borderId="0" xfId="0" applyFill="1" applyAlignment="1">
      <alignment vertical="top"/>
    </xf>
    <xf numFmtId="0" fontId="0" fillId="0" borderId="0" xfId="0" applyAlignment="1">
      <alignment horizontal="left" vertical="top"/>
    </xf>
    <xf numFmtId="0" fontId="0" fillId="0" borderId="0" xfId="0" applyAlignment="1">
      <alignment horizontal="center" vertical="center"/>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1" fillId="0" borderId="0" xfId="0" applyFont="1" applyAlignment="1">
      <alignment horizontal="left" vertical="top" wrapText="1"/>
    </xf>
    <xf numFmtId="0" fontId="2" fillId="0" borderId="0" xfId="0" applyFont="1" applyAlignment="1">
      <alignment horizontal="center" vertical="center"/>
    </xf>
    <xf numFmtId="0" fontId="5" fillId="0" borderId="5" xfId="0" applyFont="1" applyBorder="1" applyAlignment="1">
      <alignment horizontal="left" vertical="top"/>
    </xf>
    <xf numFmtId="0" fontId="6" fillId="0" borderId="6" xfId="0" applyFont="1" applyBorder="1" applyAlignment="1">
      <alignment horizontal="center" vertical="center" wrapText="1"/>
    </xf>
    <xf numFmtId="0" fontId="5" fillId="0" borderId="5" xfId="0" applyFont="1" applyBorder="1" applyAlignment="1">
      <alignment horizontal="left" vertical="top" wrapText="1"/>
    </xf>
    <xf numFmtId="0" fontId="3" fillId="0" borderId="5" xfId="0" applyFont="1" applyBorder="1" applyAlignment="1">
      <alignment horizontal="left" wrapText="1"/>
    </xf>
    <xf numFmtId="0" fontId="6" fillId="0" borderId="6" xfId="0" applyFont="1" applyBorder="1" applyAlignment="1">
      <alignment horizontal="center" vertical="center"/>
    </xf>
    <xf numFmtId="0" fontId="3" fillId="0" borderId="5" xfId="0" applyFont="1" applyBorder="1" applyAlignment="1">
      <alignment horizontal="left"/>
    </xf>
    <xf numFmtId="0" fontId="6" fillId="4" borderId="6" xfId="0" applyFont="1" applyFill="1" applyBorder="1" applyAlignment="1">
      <alignment horizontal="center" vertical="center"/>
    </xf>
    <xf numFmtId="0" fontId="6" fillId="4" borderId="9" xfId="0" applyFont="1" applyFill="1" applyBorder="1" applyAlignment="1">
      <alignment vertical="center"/>
    </xf>
    <xf numFmtId="0" fontId="0" fillId="0" borderId="0" xfId="0" applyAlignment="1">
      <alignment horizontal="center" vertical="top"/>
    </xf>
    <xf numFmtId="0" fontId="6" fillId="0" borderId="0" xfId="0" applyFont="1" applyAlignment="1">
      <alignment horizontal="left" vertical="center"/>
    </xf>
    <xf numFmtId="0" fontId="6" fillId="0" borderId="0" xfId="0" applyFont="1" applyAlignment="1">
      <alignment vertical="center"/>
    </xf>
    <xf numFmtId="0" fontId="6" fillId="0" borderId="1" xfId="0" applyFont="1" applyBorder="1" applyAlignment="1">
      <alignment horizontal="center" vertical="center"/>
    </xf>
    <xf numFmtId="0" fontId="5" fillId="0" borderId="7" xfId="0" applyFont="1" applyBorder="1" applyAlignment="1">
      <alignment vertical="top"/>
    </xf>
    <xf numFmtId="0" fontId="3" fillId="0" borderId="11" xfId="0" applyFont="1" applyBorder="1" applyAlignment="1">
      <alignment horizontal="center" vertical="center"/>
    </xf>
    <xf numFmtId="0" fontId="5" fillId="0" borderId="8" xfId="0" applyFont="1" applyBorder="1" applyAlignment="1">
      <alignment vertical="top"/>
    </xf>
    <xf numFmtId="0" fontId="3" fillId="0" borderId="0" xfId="0" applyFont="1" applyAlignment="1">
      <alignment horizontal="center" vertical="center"/>
    </xf>
    <xf numFmtId="0" fontId="5" fillId="0" borderId="0" xfId="0" applyFont="1" applyAlignment="1">
      <alignment vertical="top"/>
    </xf>
    <xf numFmtId="0" fontId="0" fillId="0" borderId="1" xfId="0" applyBorder="1" applyAlignment="1">
      <alignment horizontal="left" vertical="top"/>
    </xf>
    <xf numFmtId="0" fontId="2" fillId="0" borderId="0" xfId="0" applyFont="1" applyAlignment="1">
      <alignment horizontal="center"/>
    </xf>
    <xf numFmtId="0" fontId="4" fillId="3" borderId="12" xfId="0" applyFont="1" applyFill="1" applyBorder="1" applyAlignment="1">
      <alignment horizontal="center" vertical="center" wrapText="1"/>
    </xf>
    <xf numFmtId="0" fontId="3" fillId="0" borderId="16" xfId="0" applyFont="1" applyBorder="1" applyAlignment="1">
      <alignment horizontal="center" vertical="center"/>
    </xf>
    <xf numFmtId="0" fontId="3" fillId="0" borderId="19" xfId="0" applyFont="1" applyBorder="1" applyAlignment="1">
      <alignment horizontal="center" vertical="center"/>
    </xf>
    <xf numFmtId="0" fontId="0" fillId="0" borderId="5" xfId="0" applyBorder="1" applyAlignment="1">
      <alignment horizontal="center" vertical="top"/>
    </xf>
    <xf numFmtId="0" fontId="4" fillId="3" borderId="21"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2" fillId="3" borderId="0" xfId="0" applyFont="1" applyFill="1" applyAlignment="1">
      <alignment horizontal="center" vertical="center"/>
    </xf>
    <xf numFmtId="0" fontId="0" fillId="3" borderId="0" xfId="0" applyFill="1" applyAlignment="1">
      <alignment horizontal="center" vertical="center"/>
    </xf>
    <xf numFmtId="0" fontId="9" fillId="0" borderId="5" xfId="0" applyFont="1" applyBorder="1" applyAlignment="1">
      <alignment horizontal="left" vertical="top" wrapText="1"/>
    </xf>
    <xf numFmtId="0" fontId="0" fillId="0" borderId="5" xfId="0" applyBorder="1" applyAlignment="1">
      <alignment horizontal="center" vertical="center"/>
    </xf>
    <xf numFmtId="0" fontId="3" fillId="0" borderId="5" xfId="0" applyFont="1" applyBorder="1" applyAlignment="1">
      <alignment horizontal="center" vertical="center" wrapText="1"/>
    </xf>
    <xf numFmtId="0" fontId="9" fillId="5" borderId="5" xfId="0" applyFont="1" applyFill="1" applyBorder="1" applyAlignment="1">
      <alignment horizontal="left" vertical="top" wrapText="1"/>
    </xf>
    <xf numFmtId="0" fontId="8" fillId="0" borderId="5" xfId="0" applyFont="1" applyBorder="1" applyAlignment="1">
      <alignment horizontal="left" vertical="top" wrapText="1"/>
    </xf>
    <xf numFmtId="0" fontId="0" fillId="0" borderId="5" xfId="0" applyBorder="1" applyAlignment="1">
      <alignment horizontal="left" vertical="top"/>
    </xf>
    <xf numFmtId="0" fontId="8" fillId="0" borderId="5" xfId="0" applyFont="1" applyBorder="1" applyAlignment="1">
      <alignment vertical="center" wrapText="1"/>
    </xf>
    <xf numFmtId="0" fontId="10" fillId="6" borderId="5" xfId="0" applyFont="1" applyFill="1" applyBorder="1" applyAlignment="1">
      <alignment vertical="center" wrapText="1"/>
    </xf>
    <xf numFmtId="0" fontId="9" fillId="0" borderId="5" xfId="0" applyFont="1" applyBorder="1" applyAlignment="1">
      <alignment horizontal="left" vertical="top"/>
    </xf>
    <xf numFmtId="0" fontId="0" fillId="0" borderId="5" xfId="0" applyBorder="1" applyAlignment="1">
      <alignment horizontal="left" vertical="top" wrapText="1"/>
    </xf>
    <xf numFmtId="0" fontId="0" fillId="0" borderId="27" xfId="0" applyBorder="1" applyAlignment="1">
      <alignment horizontal="center" vertical="center"/>
    </xf>
    <xf numFmtId="0" fontId="6" fillId="0" borderId="28" xfId="0" applyFont="1" applyBorder="1" applyAlignment="1">
      <alignment horizontal="center" vertical="center"/>
    </xf>
    <xf numFmtId="0" fontId="9" fillId="0" borderId="5" xfId="0" applyFont="1" applyBorder="1" applyAlignment="1">
      <alignment horizontal="center" vertical="center"/>
    </xf>
    <xf numFmtId="0" fontId="9" fillId="0" borderId="25" xfId="0" applyFont="1" applyBorder="1" applyAlignment="1">
      <alignment horizontal="center" vertical="center"/>
    </xf>
    <xf numFmtId="0" fontId="8" fillId="0" borderId="0" xfId="0" applyFont="1" applyAlignment="1">
      <alignment horizontal="left" vertical="top"/>
    </xf>
    <xf numFmtId="0" fontId="8" fillId="0" borderId="0" xfId="0" applyFont="1" applyAlignment="1">
      <alignment wrapText="1"/>
    </xf>
    <xf numFmtId="0" fontId="9" fillId="0" borderId="5" xfId="0" applyFont="1" applyBorder="1" applyAlignment="1">
      <alignment horizontal="center" vertical="center" wrapText="1"/>
    </xf>
    <xf numFmtId="0" fontId="9" fillId="0" borderId="0" xfId="0" applyFont="1" applyAlignment="1">
      <alignment horizontal="left" vertical="top" wrapText="1"/>
    </xf>
    <xf numFmtId="0" fontId="8" fillId="5" borderId="5" xfId="0" applyFont="1" applyFill="1" applyBorder="1" applyAlignment="1">
      <alignment horizontal="center" vertical="center" wrapText="1"/>
    </xf>
    <xf numFmtId="0" fontId="9" fillId="5" borderId="5" xfId="0" applyFont="1" applyFill="1" applyBorder="1" applyAlignment="1">
      <alignment horizontal="left" vertical="center" wrapText="1"/>
    </xf>
    <xf numFmtId="0" fontId="0" fillId="5" borderId="5" xfId="0" applyFill="1" applyBorder="1" applyAlignment="1">
      <alignment horizontal="left" vertical="top"/>
    </xf>
    <xf numFmtId="0" fontId="8" fillId="5" borderId="5" xfId="0" applyFont="1" applyFill="1" applyBorder="1" applyAlignment="1">
      <alignment horizontal="left" vertical="top" wrapText="1"/>
    </xf>
    <xf numFmtId="0" fontId="0" fillId="5" borderId="5" xfId="0" applyFill="1" applyBorder="1" applyAlignment="1">
      <alignment horizontal="center" vertical="center"/>
    </xf>
    <xf numFmtId="0" fontId="3" fillId="5" borderId="5" xfId="0" applyFont="1" applyFill="1" applyBorder="1" applyAlignment="1">
      <alignment horizontal="center" vertical="center" wrapText="1"/>
    </xf>
    <xf numFmtId="0" fontId="0" fillId="5" borderId="0" xfId="0" applyFill="1" applyAlignment="1">
      <alignment horizontal="left" vertical="top"/>
    </xf>
    <xf numFmtId="0" fontId="0" fillId="0" borderId="0" xfId="0" applyAlignment="1">
      <alignment horizontal="left" vertical="top" wrapText="1"/>
    </xf>
    <xf numFmtId="0" fontId="9" fillId="0" borderId="5" xfId="0" applyFont="1" applyBorder="1" applyAlignment="1">
      <alignment horizontal="center" vertical="top" wrapText="1"/>
    </xf>
    <xf numFmtId="0" fontId="8" fillId="0" borderId="25" xfId="0" applyFont="1" applyBorder="1" applyAlignment="1">
      <alignment horizontal="left" vertical="top" wrapText="1"/>
    </xf>
    <xf numFmtId="0" fontId="4" fillId="0" borderId="5" xfId="0" applyFont="1" applyBorder="1" applyAlignment="1">
      <alignment horizontal="center" vertical="top" wrapText="1"/>
    </xf>
    <xf numFmtId="0" fontId="9" fillId="0" borderId="30" xfId="0" applyFont="1" applyBorder="1" applyAlignment="1">
      <alignment horizontal="center" vertical="center"/>
    </xf>
    <xf numFmtId="0" fontId="0" fillId="0" borderId="5" xfId="0" applyBorder="1" applyAlignment="1">
      <alignment horizontal="center" vertical="center" wrapText="1"/>
    </xf>
    <xf numFmtId="0" fontId="0" fillId="0" borderId="0" xfId="0" applyAlignment="1">
      <alignment wrapText="1"/>
    </xf>
    <xf numFmtId="0" fontId="4" fillId="3" borderId="2" xfId="0" applyFont="1" applyFill="1" applyBorder="1" applyAlignment="1">
      <alignment horizontal="center" vertical="top" wrapText="1"/>
    </xf>
    <xf numFmtId="0" fontId="0" fillId="0" borderId="5" xfId="0" applyBorder="1" applyAlignment="1">
      <alignment horizontal="left" vertical="center" wrapText="1"/>
    </xf>
    <xf numFmtId="0" fontId="4" fillId="3" borderId="10" xfId="0" applyFont="1" applyFill="1" applyBorder="1" applyAlignment="1">
      <alignment horizontal="center" vertical="center" wrapText="1"/>
    </xf>
    <xf numFmtId="0" fontId="0" fillId="0" borderId="0" xfId="0" applyAlignment="1">
      <alignment horizontal="left" vertical="center"/>
    </xf>
    <xf numFmtId="0" fontId="3" fillId="0" borderId="5" xfId="0" applyFont="1" applyBorder="1" applyAlignment="1">
      <alignment horizontal="center" vertical="center"/>
    </xf>
    <xf numFmtId="0" fontId="3" fillId="0" borderId="5" xfId="0" applyFont="1" applyBorder="1" applyAlignment="1">
      <alignment horizontal="left" vertical="center"/>
    </xf>
    <xf numFmtId="0" fontId="9" fillId="0" borderId="25" xfId="0" applyFont="1" applyBorder="1" applyAlignment="1">
      <alignment horizontal="center" vertical="top" wrapText="1"/>
    </xf>
    <xf numFmtId="0" fontId="9" fillId="0" borderId="30" xfId="0" applyFont="1" applyBorder="1" applyAlignment="1">
      <alignment horizontal="center" vertical="top" wrapText="1"/>
    </xf>
    <xf numFmtId="0" fontId="4" fillId="0" borderId="30" xfId="0" applyFont="1" applyBorder="1" applyAlignment="1">
      <alignment horizontal="center" vertical="top" wrapText="1"/>
    </xf>
    <xf numFmtId="0" fontId="4" fillId="0" borderId="30" xfId="0" applyFont="1" applyBorder="1" applyAlignment="1">
      <alignment horizontal="center" vertical="top"/>
    </xf>
    <xf numFmtId="0" fontId="8" fillId="0" borderId="5" xfId="0" applyFont="1" applyBorder="1" applyAlignment="1">
      <alignment horizontal="center"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15" fontId="3" fillId="0" borderId="1" xfId="0" applyNumberFormat="1" applyFont="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0" borderId="5" xfId="0" applyFont="1" applyBorder="1" applyAlignment="1">
      <alignment horizontal="center" vertical="center"/>
    </xf>
    <xf numFmtId="0" fontId="3" fillId="0" borderId="5" xfId="0" applyFont="1" applyBorder="1" applyAlignment="1">
      <alignment horizontal="left" vertical="center"/>
    </xf>
    <xf numFmtId="0" fontId="6" fillId="4" borderId="7"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9" xfId="0" applyFont="1" applyFill="1" applyBorder="1" applyAlignment="1">
      <alignment horizontal="center" vertical="center"/>
    </xf>
    <xf numFmtId="0" fontId="4" fillId="3" borderId="0" xfId="0" applyFont="1" applyFill="1" applyAlignment="1">
      <alignment horizontal="center" vertical="center" wrapText="1"/>
    </xf>
    <xf numFmtId="0" fontId="7" fillId="0" borderId="5" xfId="0" applyFont="1" applyBorder="1" applyAlignment="1">
      <alignment horizontal="left" vertical="top"/>
    </xf>
    <xf numFmtId="0" fontId="0" fillId="0" borderId="9" xfId="0" applyBorder="1" applyAlignment="1">
      <alignment horizontal="left" vertical="center" wrapText="1"/>
    </xf>
    <xf numFmtId="0" fontId="0" fillId="0" borderId="5" xfId="0" applyBorder="1" applyAlignment="1">
      <alignment horizontal="left" vertical="center" wrapText="1"/>
    </xf>
    <xf numFmtId="0" fontId="3" fillId="0" borderId="17" xfId="0" applyFont="1" applyBorder="1" applyAlignment="1">
      <alignment horizontal="left"/>
    </xf>
    <xf numFmtId="0" fontId="3" fillId="0" borderId="18" xfId="0" applyFont="1" applyBorder="1" applyAlignment="1">
      <alignment horizontal="left"/>
    </xf>
    <xf numFmtId="0" fontId="3" fillId="0" borderId="7" xfId="0" applyFont="1" applyBorder="1" applyAlignment="1">
      <alignment horizontal="left"/>
    </xf>
    <xf numFmtId="0" fontId="3" fillId="0" borderId="9" xfId="0" applyFont="1" applyBorder="1" applyAlignment="1">
      <alignment horizontal="left"/>
    </xf>
    <xf numFmtId="0" fontId="4" fillId="3" borderId="10" xfId="0" applyFont="1" applyFill="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left" vertical="center"/>
    </xf>
    <xf numFmtId="0" fontId="0" fillId="0" borderId="20" xfId="0" applyBorder="1" applyAlignment="1">
      <alignment horizontal="left" vertical="center"/>
    </xf>
    <xf numFmtId="0" fontId="0" fillId="0" borderId="9" xfId="0" applyBorder="1" applyAlignment="1">
      <alignment horizontal="left" vertical="center"/>
    </xf>
    <xf numFmtId="0" fontId="0" fillId="0" borderId="5" xfId="0" applyBorder="1" applyAlignment="1">
      <alignment horizontal="left" vertical="center"/>
    </xf>
    <xf numFmtId="0" fontId="1" fillId="0" borderId="9" xfId="0" applyFont="1" applyBorder="1" applyAlignment="1">
      <alignment horizontal="left" vertical="center"/>
    </xf>
    <xf numFmtId="0" fontId="1" fillId="0" borderId="5" xfId="0" applyFont="1" applyBorder="1" applyAlignment="1">
      <alignment horizontal="left" vertical="center"/>
    </xf>
    <xf numFmtId="0" fontId="1" fillId="0" borderId="9" xfId="0" applyFont="1" applyBorder="1" applyAlignment="1">
      <alignment horizontal="left" vertical="center" wrapText="1"/>
    </xf>
    <xf numFmtId="0" fontId="1" fillId="0" borderId="5" xfId="0" applyFont="1" applyBorder="1" applyAlignment="1">
      <alignment horizontal="left" vertical="center" wrapText="1"/>
    </xf>
    <xf numFmtId="0" fontId="9" fillId="0" borderId="25" xfId="0" applyFont="1" applyBorder="1" applyAlignment="1">
      <alignment horizontal="center" vertical="top" wrapText="1"/>
    </xf>
    <xf numFmtId="0" fontId="9" fillId="0" borderId="29" xfId="0" applyFont="1" applyBorder="1" applyAlignment="1">
      <alignment horizontal="center" vertical="top" wrapText="1"/>
    </xf>
    <xf numFmtId="0" fontId="9" fillId="0" borderId="30" xfId="0" applyFont="1" applyBorder="1" applyAlignment="1">
      <alignment horizontal="center" vertical="top" wrapText="1"/>
    </xf>
    <xf numFmtId="0" fontId="4" fillId="0" borderId="25" xfId="0" applyFont="1" applyBorder="1" applyAlignment="1">
      <alignment horizontal="center" vertical="top" wrapText="1"/>
    </xf>
    <xf numFmtId="0" fontId="4" fillId="0" borderId="29" xfId="0" applyFont="1" applyBorder="1" applyAlignment="1">
      <alignment horizontal="center" vertical="top" wrapText="1"/>
    </xf>
    <xf numFmtId="0" fontId="4" fillId="0" borderId="30" xfId="0" applyFont="1" applyBorder="1" applyAlignment="1">
      <alignment horizontal="center" vertical="top" wrapText="1"/>
    </xf>
    <xf numFmtId="0" fontId="11" fillId="7" borderId="26" xfId="0" applyFont="1" applyFill="1" applyBorder="1" applyAlignment="1">
      <alignment horizontal="center" vertical="center"/>
    </xf>
    <xf numFmtId="0" fontId="11" fillId="7" borderId="27" xfId="0" applyFont="1" applyFill="1" applyBorder="1" applyAlignment="1">
      <alignment horizontal="center" vertical="center"/>
    </xf>
    <xf numFmtId="0" fontId="8" fillId="0" borderId="5" xfId="0" applyFont="1" applyBorder="1" applyAlignment="1">
      <alignment horizontal="center" vertical="center" wrapText="1"/>
    </xf>
    <xf numFmtId="0" fontId="9" fillId="0" borderId="5" xfId="0" applyFont="1" applyBorder="1" applyAlignment="1">
      <alignment horizontal="left" vertical="center" wrapText="1"/>
    </xf>
    <xf numFmtId="0" fontId="8" fillId="6" borderId="5" xfId="0" applyFont="1" applyFill="1" applyBorder="1" applyAlignment="1">
      <alignment horizontal="center" vertical="center" wrapText="1"/>
    </xf>
    <xf numFmtId="0" fontId="8" fillId="0" borderId="25" xfId="0" applyFont="1" applyBorder="1" applyAlignment="1">
      <alignment horizontal="center" vertical="center" wrapText="1"/>
    </xf>
    <xf numFmtId="0" fontId="8" fillId="0" borderId="29" xfId="0" applyFont="1" applyBorder="1" applyAlignment="1">
      <alignment horizontal="center" vertical="center" wrapText="1"/>
    </xf>
    <xf numFmtId="0" fontId="4" fillId="0" borderId="25" xfId="0" applyFont="1" applyBorder="1" applyAlignment="1">
      <alignment horizontal="center" vertical="top"/>
    </xf>
    <xf numFmtId="0" fontId="4" fillId="0" borderId="29" xfId="0" applyFont="1" applyBorder="1" applyAlignment="1">
      <alignment horizontal="center" vertical="top"/>
    </xf>
    <xf numFmtId="0" fontId="4" fillId="0" borderId="30" xfId="0" applyFont="1" applyBorder="1" applyAlignment="1">
      <alignment horizontal="center" vertical="top"/>
    </xf>
    <xf numFmtId="0" fontId="8" fillId="0" borderId="3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116339</xdr:colOff>
      <xdr:row>0</xdr:row>
      <xdr:rowOff>161925</xdr:rowOff>
    </xdr:from>
    <xdr:to>
      <xdr:col>1</xdr:col>
      <xdr:colOff>1181098</xdr:colOff>
      <xdr:row>3</xdr:row>
      <xdr:rowOff>68601</xdr:rowOff>
    </xdr:to>
    <xdr:pic>
      <xdr:nvPicPr>
        <xdr:cNvPr id="2" name="Picture 1">
          <a:extLst>
            <a:ext uri="{FF2B5EF4-FFF2-40B4-BE49-F238E27FC236}">
              <a16:creationId xmlns:a16="http://schemas.microsoft.com/office/drawing/2014/main" id="{98528404-1EB4-4F59-88AF-6EA6CB06060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339" y="161925"/>
          <a:ext cx="1922009" cy="4972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tabSelected="1" zoomScaleNormal="100" workbookViewId="0">
      <pane ySplit="4" topLeftCell="A29" activePane="bottomLeft" state="frozen"/>
      <selection pane="bottomLeft" activeCell="E46" sqref="E46"/>
      <selection activeCell="D1" sqref="D1"/>
    </sheetView>
  </sheetViews>
  <sheetFormatPr defaultColWidth="9.140625" defaultRowHeight="15"/>
  <cols>
    <col min="1" max="1" width="12.85546875" style="17" customWidth="1"/>
    <col min="2" max="2" width="41.5703125" style="3" customWidth="1"/>
    <col min="3" max="3" width="62.85546875" style="3" customWidth="1"/>
    <col min="4" max="4" width="21.85546875" style="3" customWidth="1"/>
    <col min="5" max="5" width="35" style="3" customWidth="1"/>
    <col min="6" max="6" width="49.85546875" style="3" customWidth="1"/>
    <col min="7" max="7" width="20.85546875" style="4" customWidth="1"/>
    <col min="8" max="8" width="9.140625" style="4"/>
    <col min="9" max="16384" width="9.140625" style="3"/>
  </cols>
  <sheetData>
    <row r="1" spans="1:8" ht="15.75" customHeight="1">
      <c r="A1" s="1"/>
      <c r="B1" s="2"/>
      <c r="C1" s="2"/>
      <c r="D1" s="84" t="s">
        <v>0</v>
      </c>
    </row>
    <row r="2" spans="1:8" ht="15.75" customHeight="1">
      <c r="A2" s="1"/>
      <c r="B2" s="2"/>
      <c r="C2" s="2"/>
      <c r="D2" s="84"/>
    </row>
    <row r="3" spans="1:8">
      <c r="A3" s="1"/>
      <c r="B3" s="2"/>
      <c r="C3" s="2"/>
      <c r="D3" s="84"/>
    </row>
    <row r="4" spans="1:8" ht="15.75" customHeight="1">
      <c r="A4" s="1"/>
      <c r="B4" s="2"/>
      <c r="C4" s="2"/>
      <c r="D4" s="84"/>
    </row>
    <row r="5" spans="1:8" ht="31.5" customHeight="1">
      <c r="A5" s="5" t="s">
        <v>1</v>
      </c>
      <c r="B5" s="85" t="s">
        <v>2</v>
      </c>
      <c r="C5" s="86"/>
      <c r="D5" s="6" t="s">
        <v>3</v>
      </c>
      <c r="E5" s="7" t="s">
        <v>4</v>
      </c>
      <c r="H5" s="8"/>
    </row>
    <row r="6" spans="1:8" ht="18.75">
      <c r="A6" s="87">
        <v>1</v>
      </c>
      <c r="B6" s="88" t="s">
        <v>5</v>
      </c>
      <c r="C6" s="9" t="s">
        <v>6</v>
      </c>
      <c r="D6" s="10">
        <f>'Website Scope'!H2</f>
        <v>0</v>
      </c>
      <c r="H6" s="8"/>
    </row>
    <row r="7" spans="1:8" ht="18.75">
      <c r="A7" s="87"/>
      <c r="B7" s="88"/>
      <c r="C7" s="11" t="s">
        <v>7</v>
      </c>
      <c r="D7" s="10">
        <f>'Website Scope'!H3</f>
        <v>0</v>
      </c>
      <c r="H7" s="8"/>
    </row>
    <row r="8" spans="1:8" ht="18.75">
      <c r="A8" s="87"/>
      <c r="B8" s="88"/>
      <c r="C8" s="11" t="s">
        <v>8</v>
      </c>
      <c r="D8" s="10">
        <f>'Website Scope'!H6</f>
        <v>0</v>
      </c>
      <c r="H8" s="8"/>
    </row>
    <row r="9" spans="1:8" ht="18.75">
      <c r="A9" s="74">
        <v>2</v>
      </c>
      <c r="B9" s="75" t="s">
        <v>9</v>
      </c>
      <c r="C9" s="11" t="s">
        <v>10</v>
      </c>
      <c r="D9" s="10">
        <f ca="1">SUM('Website Scope'!H4:'Website Scope'!H5)</f>
        <v>0</v>
      </c>
      <c r="H9" s="8"/>
    </row>
    <row r="10" spans="1:8" ht="18.75">
      <c r="A10" s="74">
        <v>3</v>
      </c>
      <c r="B10" s="75" t="s">
        <v>9</v>
      </c>
      <c r="C10" s="12" t="s">
        <v>11</v>
      </c>
      <c r="D10" s="13">
        <f>'Website Scope'!H213</f>
        <v>0</v>
      </c>
      <c r="H10" s="8"/>
    </row>
    <row r="11" spans="1:8" ht="18.75">
      <c r="A11" s="74">
        <v>4</v>
      </c>
      <c r="B11" s="14" t="s">
        <v>12</v>
      </c>
      <c r="C11" s="12" t="s">
        <v>12</v>
      </c>
      <c r="D11" s="13">
        <f>'Website Scope'!H8</f>
        <v>0</v>
      </c>
      <c r="H11" s="8"/>
    </row>
    <row r="12" spans="1:8" ht="18.75">
      <c r="A12" s="74">
        <v>5</v>
      </c>
      <c r="B12" s="14" t="s">
        <v>13</v>
      </c>
      <c r="C12" s="12" t="s">
        <v>13</v>
      </c>
      <c r="D12" s="13">
        <f>'Website Scope'!H7</f>
        <v>0</v>
      </c>
      <c r="H12" s="8"/>
    </row>
    <row r="13" spans="1:8" ht="18.75">
      <c r="A13" s="74">
        <v>6</v>
      </c>
      <c r="B13" s="14" t="s">
        <v>14</v>
      </c>
      <c r="C13" s="14" t="s">
        <v>15</v>
      </c>
      <c r="D13" s="13">
        <f>'Website Scope'!H12</f>
        <v>0</v>
      </c>
      <c r="H13" s="8"/>
    </row>
    <row r="14" spans="1:8" ht="18.75">
      <c r="A14" s="74">
        <v>7</v>
      </c>
      <c r="B14" s="14" t="s">
        <v>16</v>
      </c>
      <c r="C14" s="14" t="s">
        <v>16</v>
      </c>
      <c r="D14" s="13">
        <f>'Website Scope'!H11</f>
        <v>0</v>
      </c>
      <c r="H14" s="8"/>
    </row>
    <row r="15" spans="1:8" ht="18.75">
      <c r="A15" s="74">
        <v>8</v>
      </c>
      <c r="B15" s="14" t="s">
        <v>17</v>
      </c>
      <c r="C15" s="12" t="s">
        <v>18</v>
      </c>
      <c r="D15" s="13">
        <f ca="1">SUM('Website Scope'!H9:'Website Scope'!H10)</f>
        <v>0</v>
      </c>
      <c r="H15" s="8"/>
    </row>
    <row r="16" spans="1:8" ht="27" customHeight="1">
      <c r="A16" s="89" t="s">
        <v>19</v>
      </c>
      <c r="B16" s="90"/>
      <c r="C16" s="91"/>
      <c r="D16" s="15">
        <f ca="1">SUM(D6:D15)</f>
        <v>0</v>
      </c>
      <c r="H16" s="8"/>
    </row>
    <row r="17" spans="1:5" ht="22.5" customHeight="1">
      <c r="A17" s="89" t="s">
        <v>20</v>
      </c>
      <c r="B17" s="90"/>
      <c r="C17" s="90"/>
      <c r="D17" s="16"/>
      <c r="E17" s="4" t="s">
        <v>21</v>
      </c>
    </row>
    <row r="18" spans="1:5" ht="22.5" customHeight="1">
      <c r="B18" s="18"/>
      <c r="C18" s="19"/>
      <c r="D18" s="20"/>
      <c r="E18" s="73"/>
    </row>
    <row r="19" spans="1:5" ht="22.5" customHeight="1">
      <c r="A19" s="72" t="s">
        <v>1</v>
      </c>
      <c r="B19" s="92" t="s">
        <v>22</v>
      </c>
      <c r="C19" s="92"/>
      <c r="D19" s="86"/>
      <c r="E19" s="73"/>
    </row>
    <row r="20" spans="1:5" ht="18.75">
      <c r="A20" s="74">
        <v>1</v>
      </c>
      <c r="B20" s="21" t="s">
        <v>23</v>
      </c>
      <c r="C20" s="93" t="s">
        <v>24</v>
      </c>
      <c r="D20" s="93"/>
    </row>
    <row r="21" spans="1:5" ht="18.75">
      <c r="A21" s="74">
        <v>2</v>
      </c>
      <c r="B21" s="21" t="s">
        <v>25</v>
      </c>
      <c r="C21" s="93" t="s">
        <v>26</v>
      </c>
      <c r="D21" s="93"/>
    </row>
    <row r="22" spans="1:5" ht="18.75">
      <c r="A22" s="74">
        <v>3</v>
      </c>
      <c r="B22" s="21" t="s">
        <v>27</v>
      </c>
      <c r="C22" s="93" t="s">
        <v>28</v>
      </c>
      <c r="D22" s="93"/>
    </row>
    <row r="23" spans="1:5" ht="18.75">
      <c r="A23" s="22">
        <v>4</v>
      </c>
      <c r="B23" s="23" t="s">
        <v>29</v>
      </c>
      <c r="C23" s="93" t="s">
        <v>30</v>
      </c>
      <c r="D23" s="93"/>
    </row>
    <row r="24" spans="1:5" ht="18.75">
      <c r="A24" s="24"/>
      <c r="B24" s="25"/>
      <c r="C24" s="25"/>
      <c r="D24" s="26"/>
    </row>
    <row r="25" spans="1:5">
      <c r="B25" s="27"/>
      <c r="C25" s="27"/>
      <c r="D25" s="26"/>
    </row>
    <row r="26" spans="1:5" ht="24" customHeight="1">
      <c r="A26" s="28" t="s">
        <v>1</v>
      </c>
      <c r="B26" s="81" t="s">
        <v>31</v>
      </c>
      <c r="C26" s="82"/>
      <c r="D26" s="83"/>
    </row>
    <row r="27" spans="1:5" ht="18.75">
      <c r="A27" s="29">
        <v>1</v>
      </c>
      <c r="B27" s="96" t="s">
        <v>32</v>
      </c>
      <c r="C27" s="97"/>
      <c r="D27" s="30">
        <v>1</v>
      </c>
    </row>
    <row r="28" spans="1:5" ht="18.75">
      <c r="A28" s="29">
        <v>2</v>
      </c>
      <c r="B28" s="96" t="s">
        <v>33</v>
      </c>
      <c r="C28" s="97"/>
      <c r="D28" s="30">
        <v>1</v>
      </c>
    </row>
    <row r="29" spans="1:5" ht="18.75">
      <c r="A29" s="29">
        <v>3</v>
      </c>
      <c r="B29" s="96" t="s">
        <v>34</v>
      </c>
      <c r="C29" s="97"/>
      <c r="D29" s="30">
        <v>1</v>
      </c>
    </row>
    <row r="30" spans="1:5" ht="18.75">
      <c r="A30" s="29">
        <v>4</v>
      </c>
      <c r="B30" s="96" t="s">
        <v>35</v>
      </c>
      <c r="C30" s="97"/>
      <c r="D30" s="30">
        <v>1</v>
      </c>
    </row>
    <row r="31" spans="1:5" ht="18.75">
      <c r="A31" s="29">
        <v>5</v>
      </c>
      <c r="B31" s="98" t="s">
        <v>36</v>
      </c>
      <c r="C31" s="99"/>
      <c r="D31" s="30">
        <v>1</v>
      </c>
    </row>
    <row r="32" spans="1:5">
      <c r="B32" s="27"/>
      <c r="C32" s="27"/>
      <c r="D32" s="26"/>
    </row>
    <row r="34" spans="1:4" ht="15.75">
      <c r="A34" s="5" t="s">
        <v>1</v>
      </c>
      <c r="B34" s="100" t="s">
        <v>37</v>
      </c>
      <c r="C34" s="92"/>
      <c r="D34" s="86"/>
    </row>
    <row r="35" spans="1:4">
      <c r="A35" s="31"/>
      <c r="B35" s="101"/>
      <c r="C35" s="102"/>
      <c r="D35" s="103"/>
    </row>
    <row r="36" spans="1:4">
      <c r="A36" s="31"/>
      <c r="B36" s="104"/>
      <c r="C36" s="104"/>
      <c r="D36" s="105"/>
    </row>
    <row r="37" spans="1:4">
      <c r="A37" s="31"/>
      <c r="B37" s="106"/>
      <c r="C37" s="107"/>
      <c r="D37" s="107"/>
    </row>
    <row r="38" spans="1:4">
      <c r="A38" s="31"/>
      <c r="B38" s="106"/>
      <c r="C38" s="107"/>
      <c r="D38" s="107"/>
    </row>
    <row r="39" spans="1:4">
      <c r="A39" s="31"/>
      <c r="B39" s="108"/>
      <c r="C39" s="109"/>
      <c r="D39" s="109"/>
    </row>
    <row r="40" spans="1:4" ht="39.75" customHeight="1">
      <c r="A40" s="31"/>
      <c r="B40" s="94"/>
      <c r="C40" s="95"/>
      <c r="D40" s="95"/>
    </row>
    <row r="41" spans="1:4">
      <c r="A41" s="31"/>
      <c r="B41" s="94"/>
      <c r="C41" s="95"/>
      <c r="D41" s="95"/>
    </row>
    <row r="42" spans="1:4">
      <c r="A42" s="31"/>
      <c r="B42" s="110"/>
      <c r="C42" s="111"/>
      <c r="D42" s="111"/>
    </row>
    <row r="43" spans="1:4">
      <c r="A43" s="31"/>
      <c r="B43" s="110"/>
      <c r="C43" s="111"/>
      <c r="D43" s="111"/>
    </row>
    <row r="44" spans="1:4">
      <c r="A44" s="31"/>
      <c r="B44" s="110"/>
      <c r="C44" s="111"/>
      <c r="D44" s="111"/>
    </row>
    <row r="45" spans="1:4" ht="29.25" customHeight="1">
      <c r="A45" s="31"/>
      <c r="B45" s="110"/>
      <c r="C45" s="111"/>
      <c r="D45" s="111"/>
    </row>
    <row r="46" spans="1:4">
      <c r="A46" s="31"/>
      <c r="B46" s="110"/>
      <c r="C46" s="111"/>
      <c r="D46" s="111"/>
    </row>
    <row r="47" spans="1:4">
      <c r="A47" s="31"/>
      <c r="B47" s="94"/>
      <c r="C47" s="95"/>
      <c r="D47" s="95"/>
    </row>
    <row r="48" spans="1:4">
      <c r="A48" s="31"/>
      <c r="B48" s="94"/>
      <c r="C48" s="95"/>
      <c r="D48" s="95"/>
    </row>
    <row r="49" spans="1:4">
      <c r="A49" s="31"/>
      <c r="B49" s="94"/>
      <c r="C49" s="95"/>
      <c r="D49" s="95"/>
    </row>
  </sheetData>
  <mergeCells count="33">
    <mergeCell ref="B47:D47"/>
    <mergeCell ref="B48:D48"/>
    <mergeCell ref="B49:D49"/>
    <mergeCell ref="B41:D41"/>
    <mergeCell ref="B42:D42"/>
    <mergeCell ref="B43:D43"/>
    <mergeCell ref="B44:D44"/>
    <mergeCell ref="B45:D45"/>
    <mergeCell ref="B46:D46"/>
    <mergeCell ref="B40:D40"/>
    <mergeCell ref="B27:C27"/>
    <mergeCell ref="B28:C28"/>
    <mergeCell ref="B29:C29"/>
    <mergeCell ref="B30:C30"/>
    <mergeCell ref="B31:C31"/>
    <mergeCell ref="B34:D34"/>
    <mergeCell ref="B35:D35"/>
    <mergeCell ref="B36:D36"/>
    <mergeCell ref="B37:D37"/>
    <mergeCell ref="B38:D38"/>
    <mergeCell ref="B39:D39"/>
    <mergeCell ref="B26:D26"/>
    <mergeCell ref="D1:D4"/>
    <mergeCell ref="B5:C5"/>
    <mergeCell ref="A6:A8"/>
    <mergeCell ref="B6:B8"/>
    <mergeCell ref="A16:C16"/>
    <mergeCell ref="A17:C17"/>
    <mergeCell ref="B19:D19"/>
    <mergeCell ref="C20:D20"/>
    <mergeCell ref="C21:D21"/>
    <mergeCell ref="C22:D22"/>
    <mergeCell ref="C23:D23"/>
  </mergeCells>
  <pageMargins left="0.7" right="0.7" top="0.75" bottom="0.75" header="0.3" footer="0.3"/>
  <pageSetup paperSize="9"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5"/>
  <sheetViews>
    <sheetView topLeftCell="B1" zoomScaleNormal="100" workbookViewId="0">
      <pane ySplit="1" topLeftCell="A2" activePane="bottomLeft" state="frozen"/>
      <selection pane="bottomLeft" activeCell="E70" sqref="E70"/>
      <selection activeCell="D1" sqref="D1"/>
    </sheetView>
  </sheetViews>
  <sheetFormatPr defaultColWidth="9.140625" defaultRowHeight="18.75"/>
  <cols>
    <col min="1" max="1" width="6.85546875" style="17" customWidth="1"/>
    <col min="2" max="2" width="28" style="52" customWidth="1"/>
    <col min="3" max="3" width="29.28515625" style="3" customWidth="1"/>
    <col min="4" max="4" width="41" style="3" customWidth="1"/>
    <col min="5" max="5" width="124.28515625" style="3" customWidth="1"/>
    <col min="6" max="6" width="30" style="63" customWidth="1"/>
    <col min="7" max="7" width="21.140625" style="4" customWidth="1"/>
    <col min="8" max="8" width="9.140625" style="24"/>
    <col min="9" max="16384" width="9.140625" style="3"/>
  </cols>
  <sheetData>
    <row r="1" spans="1:9" s="37" customFormat="1" ht="33.75" customHeight="1">
      <c r="A1" s="32" t="s">
        <v>1</v>
      </c>
      <c r="B1" s="33" t="s">
        <v>38</v>
      </c>
      <c r="C1" s="34" t="s">
        <v>39</v>
      </c>
      <c r="D1" s="34" t="s">
        <v>2</v>
      </c>
      <c r="E1" s="34" t="s">
        <v>40</v>
      </c>
      <c r="F1" s="35" t="s">
        <v>41</v>
      </c>
      <c r="G1" s="36" t="s">
        <v>42</v>
      </c>
      <c r="H1" s="35" t="s">
        <v>3</v>
      </c>
    </row>
    <row r="2" spans="1:9" ht="15" customHeight="1">
      <c r="A2" s="80">
        <v>1</v>
      </c>
      <c r="B2" s="38" t="s">
        <v>43</v>
      </c>
      <c r="C2" s="38" t="s">
        <v>43</v>
      </c>
      <c r="D2" s="38" t="s">
        <v>44</v>
      </c>
      <c r="E2" s="38" t="s">
        <v>44</v>
      </c>
      <c r="F2" s="42"/>
      <c r="G2" s="39"/>
      <c r="H2" s="40">
        <v>0</v>
      </c>
    </row>
    <row r="3" spans="1:9">
      <c r="A3" s="80">
        <v>2</v>
      </c>
      <c r="B3" s="38" t="s">
        <v>45</v>
      </c>
      <c r="C3" s="41" t="s">
        <v>7</v>
      </c>
      <c r="D3" s="38" t="s">
        <v>45</v>
      </c>
      <c r="E3" s="38" t="s">
        <v>45</v>
      </c>
      <c r="F3" s="42"/>
      <c r="G3" s="39"/>
      <c r="H3" s="40">
        <v>0</v>
      </c>
    </row>
    <row r="4" spans="1:9" ht="31.5">
      <c r="A4" s="120">
        <v>3</v>
      </c>
      <c r="B4" s="121" t="s">
        <v>46</v>
      </c>
      <c r="C4" s="38" t="s">
        <v>47</v>
      </c>
      <c r="D4" s="41" t="s">
        <v>48</v>
      </c>
      <c r="E4" s="41" t="s">
        <v>48</v>
      </c>
      <c r="F4" s="42"/>
      <c r="G4" s="39"/>
      <c r="H4" s="40">
        <v>0</v>
      </c>
    </row>
    <row r="5" spans="1:9" ht="31.5">
      <c r="A5" s="120"/>
      <c r="B5" s="121"/>
      <c r="C5" s="38" t="s">
        <v>49</v>
      </c>
      <c r="D5" s="41" t="s">
        <v>48</v>
      </c>
      <c r="E5" s="41" t="s">
        <v>48</v>
      </c>
      <c r="F5" s="42"/>
      <c r="G5" s="39"/>
      <c r="H5" s="40">
        <v>0</v>
      </c>
    </row>
    <row r="6" spans="1:9" ht="31.5">
      <c r="A6" s="80">
        <v>4</v>
      </c>
      <c r="B6" s="38" t="s">
        <v>50</v>
      </c>
      <c r="C6" s="38" t="s">
        <v>8</v>
      </c>
      <c r="D6" s="38" t="s">
        <v>8</v>
      </c>
      <c r="E6" s="38" t="s">
        <v>51</v>
      </c>
      <c r="F6" s="42"/>
      <c r="G6" s="39"/>
      <c r="H6" s="40">
        <v>0</v>
      </c>
    </row>
    <row r="7" spans="1:9" ht="31.5">
      <c r="A7" s="80">
        <v>5</v>
      </c>
      <c r="B7" s="42" t="s">
        <v>52</v>
      </c>
      <c r="C7" s="38" t="s">
        <v>53</v>
      </c>
      <c r="D7" s="42" t="s">
        <v>54</v>
      </c>
      <c r="E7" s="43"/>
      <c r="F7" s="42"/>
      <c r="G7" s="39"/>
      <c r="H7" s="40">
        <v>0</v>
      </c>
    </row>
    <row r="8" spans="1:9">
      <c r="A8" s="80">
        <v>6</v>
      </c>
      <c r="B8" s="38" t="s">
        <v>12</v>
      </c>
      <c r="C8" s="38" t="s">
        <v>55</v>
      </c>
      <c r="D8" s="38" t="s">
        <v>55</v>
      </c>
      <c r="E8" s="43"/>
      <c r="F8" s="42"/>
      <c r="G8" s="39"/>
      <c r="H8" s="40">
        <v>0</v>
      </c>
      <c r="I8" s="3" t="s">
        <v>56</v>
      </c>
    </row>
    <row r="9" spans="1:9">
      <c r="A9" s="120">
        <v>7</v>
      </c>
      <c r="B9" s="121" t="s">
        <v>17</v>
      </c>
      <c r="C9" s="38" t="s">
        <v>17</v>
      </c>
      <c r="D9" s="38" t="s">
        <v>57</v>
      </c>
      <c r="E9" s="43"/>
      <c r="F9" s="42"/>
      <c r="G9" s="39"/>
      <c r="H9" s="40">
        <v>0</v>
      </c>
    </row>
    <row r="10" spans="1:9">
      <c r="A10" s="120"/>
      <c r="B10" s="121"/>
      <c r="C10" s="38"/>
      <c r="D10" s="38" t="s">
        <v>58</v>
      </c>
      <c r="E10" s="43"/>
      <c r="F10" s="42"/>
      <c r="G10" s="39"/>
      <c r="H10" s="40">
        <v>0</v>
      </c>
    </row>
    <row r="11" spans="1:9" s="62" customFormat="1">
      <c r="A11" s="56">
        <v>8</v>
      </c>
      <c r="B11" s="57" t="s">
        <v>16</v>
      </c>
      <c r="C11" s="57" t="s">
        <v>16</v>
      </c>
      <c r="D11" s="41" t="s">
        <v>59</v>
      </c>
      <c r="E11" s="58"/>
      <c r="F11" s="59"/>
      <c r="G11" s="60"/>
      <c r="H11" s="61">
        <v>0</v>
      </c>
    </row>
    <row r="12" spans="1:9" ht="204.75">
      <c r="A12" s="80">
        <v>9</v>
      </c>
      <c r="B12" s="42" t="s">
        <v>15</v>
      </c>
      <c r="C12" s="38" t="s">
        <v>42</v>
      </c>
      <c r="D12" s="44" t="s">
        <v>60</v>
      </c>
      <c r="E12" s="42"/>
      <c r="F12" s="42"/>
      <c r="G12" s="39"/>
      <c r="H12" s="40">
        <v>0</v>
      </c>
    </row>
    <row r="13" spans="1:9" ht="31.5" customHeight="1">
      <c r="A13" s="122" t="s">
        <v>11</v>
      </c>
      <c r="B13" s="122"/>
      <c r="C13" s="122"/>
      <c r="D13" s="122"/>
      <c r="E13" s="122"/>
      <c r="F13" s="122"/>
      <c r="G13" s="45"/>
      <c r="H13" s="45"/>
    </row>
    <row r="14" spans="1:9">
      <c r="A14" s="80"/>
      <c r="B14" s="42"/>
      <c r="C14" s="38"/>
      <c r="D14" s="38"/>
      <c r="E14" s="38"/>
      <c r="F14" s="42"/>
      <c r="G14" s="39"/>
      <c r="H14" s="40"/>
    </row>
    <row r="15" spans="1:9">
      <c r="A15" s="123"/>
      <c r="B15" s="115" t="s">
        <v>61</v>
      </c>
      <c r="C15" s="38"/>
      <c r="D15" s="38"/>
      <c r="E15" s="38"/>
      <c r="F15" s="42"/>
      <c r="G15" s="39"/>
      <c r="H15" s="40"/>
    </row>
    <row r="16" spans="1:9" ht="31.5">
      <c r="A16" s="124"/>
      <c r="B16" s="116"/>
      <c r="C16" s="76" t="s">
        <v>62</v>
      </c>
      <c r="D16" s="51" t="s">
        <v>63</v>
      </c>
      <c r="E16" s="38" t="s">
        <v>64</v>
      </c>
      <c r="F16" s="42"/>
      <c r="G16" s="39"/>
      <c r="H16" s="40"/>
    </row>
    <row r="17" spans="1:8" ht="31.5">
      <c r="A17" s="124"/>
      <c r="B17" s="116"/>
      <c r="C17" s="112" t="s">
        <v>65</v>
      </c>
      <c r="D17" s="54" t="s">
        <v>66</v>
      </c>
      <c r="E17" s="38" t="s">
        <v>67</v>
      </c>
      <c r="F17" s="42"/>
      <c r="G17" s="39"/>
      <c r="H17" s="40"/>
    </row>
    <row r="18" spans="1:8" ht="31.5">
      <c r="A18" s="124"/>
      <c r="B18" s="116"/>
      <c r="C18" s="113"/>
      <c r="D18" s="54" t="s">
        <v>68</v>
      </c>
      <c r="E18" s="38" t="s">
        <v>69</v>
      </c>
      <c r="F18" s="42"/>
      <c r="G18" s="39"/>
      <c r="H18" s="40"/>
    </row>
    <row r="19" spans="1:8" ht="31.5">
      <c r="A19" s="124"/>
      <c r="B19" s="116"/>
      <c r="C19" s="113"/>
      <c r="D19" s="54" t="s">
        <v>70</v>
      </c>
      <c r="E19" s="38" t="s">
        <v>71</v>
      </c>
      <c r="F19" s="42"/>
      <c r="G19" s="39"/>
      <c r="H19" s="40"/>
    </row>
    <row r="20" spans="1:8" ht="31.5">
      <c r="A20" s="124"/>
      <c r="B20" s="116"/>
      <c r="C20" s="113"/>
      <c r="D20" s="54" t="s">
        <v>72</v>
      </c>
      <c r="E20" s="38" t="s">
        <v>73</v>
      </c>
      <c r="F20" s="42"/>
      <c r="G20" s="39"/>
      <c r="H20" s="40"/>
    </row>
    <row r="21" spans="1:8" ht="31.5">
      <c r="A21" s="124"/>
      <c r="B21" s="116"/>
      <c r="C21" s="114"/>
      <c r="D21" s="54" t="s">
        <v>74</v>
      </c>
      <c r="E21" s="38" t="s">
        <v>75</v>
      </c>
      <c r="F21" s="42"/>
      <c r="G21" s="39"/>
      <c r="H21" s="40"/>
    </row>
    <row r="22" spans="1:8" ht="31.5" customHeight="1">
      <c r="A22" s="124"/>
      <c r="B22" s="116"/>
      <c r="C22" s="112" t="s">
        <v>76</v>
      </c>
      <c r="D22" s="54" t="s">
        <v>77</v>
      </c>
      <c r="E22" s="38" t="s">
        <v>78</v>
      </c>
      <c r="F22" s="42"/>
      <c r="G22" s="39"/>
      <c r="H22" s="40"/>
    </row>
    <row r="23" spans="1:8" ht="31.5">
      <c r="A23" s="124"/>
      <c r="B23" s="116"/>
      <c r="C23" s="114"/>
      <c r="D23" s="54" t="s">
        <v>79</v>
      </c>
      <c r="E23" s="38" t="s">
        <v>80</v>
      </c>
      <c r="F23" s="42"/>
      <c r="G23" s="39"/>
      <c r="H23" s="40"/>
    </row>
    <row r="24" spans="1:8">
      <c r="A24" s="124"/>
      <c r="B24" s="116"/>
      <c r="C24" s="112" t="s">
        <v>81</v>
      </c>
      <c r="D24" s="54" t="s">
        <v>82</v>
      </c>
      <c r="E24" s="38" t="s">
        <v>83</v>
      </c>
      <c r="F24" s="42"/>
      <c r="G24" s="39"/>
      <c r="H24" s="40"/>
    </row>
    <row r="25" spans="1:8" ht="31.5">
      <c r="A25" s="124"/>
      <c r="B25" s="116"/>
      <c r="C25" s="113"/>
      <c r="D25" s="54" t="s">
        <v>84</v>
      </c>
      <c r="E25" s="38" t="s">
        <v>85</v>
      </c>
      <c r="F25" s="42"/>
      <c r="G25" s="39"/>
      <c r="H25" s="40"/>
    </row>
    <row r="26" spans="1:8">
      <c r="A26" s="124"/>
      <c r="B26" s="116"/>
      <c r="C26" s="113"/>
      <c r="D26" s="54" t="s">
        <v>86</v>
      </c>
      <c r="E26" s="38" t="s">
        <v>87</v>
      </c>
      <c r="F26" s="42"/>
      <c r="G26" s="39"/>
      <c r="H26" s="40"/>
    </row>
    <row r="27" spans="1:8" ht="31.5">
      <c r="A27" s="124"/>
      <c r="B27" s="116"/>
      <c r="C27" s="113"/>
      <c r="D27" s="54" t="s">
        <v>88</v>
      </c>
      <c r="E27" s="38" t="s">
        <v>89</v>
      </c>
      <c r="F27" s="42"/>
      <c r="G27" s="39"/>
      <c r="H27" s="40"/>
    </row>
    <row r="28" spans="1:8">
      <c r="A28" s="124"/>
      <c r="B28" s="116"/>
      <c r="C28" s="114"/>
      <c r="D28" s="54" t="s">
        <v>90</v>
      </c>
      <c r="E28" s="38" t="s">
        <v>91</v>
      </c>
      <c r="F28" s="42"/>
      <c r="G28" s="39"/>
      <c r="H28" s="40"/>
    </row>
    <row r="29" spans="1:8">
      <c r="A29" s="124"/>
      <c r="B29" s="116"/>
      <c r="C29" s="112" t="s">
        <v>92</v>
      </c>
      <c r="D29" s="54" t="s">
        <v>93</v>
      </c>
      <c r="E29" s="38" t="s">
        <v>94</v>
      </c>
      <c r="F29" s="42"/>
      <c r="G29" s="39"/>
      <c r="H29" s="40"/>
    </row>
    <row r="30" spans="1:8" ht="31.5">
      <c r="A30" s="124"/>
      <c r="B30" s="116"/>
      <c r="C30" s="114"/>
      <c r="D30" s="54" t="s">
        <v>95</v>
      </c>
      <c r="E30" s="38" t="s">
        <v>96</v>
      </c>
      <c r="F30" s="42"/>
      <c r="G30" s="39"/>
      <c r="H30" s="40"/>
    </row>
    <row r="31" spans="1:8">
      <c r="A31" s="124"/>
      <c r="B31" s="116"/>
      <c r="C31" s="112" t="s">
        <v>97</v>
      </c>
      <c r="D31" s="54" t="s">
        <v>98</v>
      </c>
      <c r="E31" s="38" t="s">
        <v>99</v>
      </c>
      <c r="F31" s="42"/>
      <c r="G31" s="39"/>
      <c r="H31" s="40"/>
    </row>
    <row r="32" spans="1:8">
      <c r="A32" s="124"/>
      <c r="B32" s="116"/>
      <c r="C32" s="113"/>
      <c r="D32" s="54" t="s">
        <v>100</v>
      </c>
      <c r="E32" s="38" t="s">
        <v>101</v>
      </c>
      <c r="F32" s="42"/>
      <c r="G32" s="39"/>
      <c r="H32" s="40"/>
    </row>
    <row r="33" spans="1:8">
      <c r="A33" s="124"/>
      <c r="B33" s="116"/>
      <c r="C33" s="114"/>
      <c r="D33" s="54" t="s">
        <v>102</v>
      </c>
      <c r="E33" s="38" t="s">
        <v>103</v>
      </c>
      <c r="F33" s="42"/>
      <c r="G33" s="39"/>
      <c r="H33" s="40"/>
    </row>
    <row r="34" spans="1:8">
      <c r="A34" s="124"/>
      <c r="B34" s="116"/>
      <c r="C34" s="64" t="s">
        <v>104</v>
      </c>
      <c r="D34" s="54" t="s">
        <v>105</v>
      </c>
      <c r="E34" s="38" t="s">
        <v>106</v>
      </c>
      <c r="F34" s="42"/>
      <c r="G34" s="39"/>
      <c r="H34" s="40"/>
    </row>
    <row r="35" spans="1:8">
      <c r="A35" s="124"/>
      <c r="B35" s="116"/>
      <c r="C35" s="64" t="s">
        <v>107</v>
      </c>
      <c r="D35" s="54" t="s">
        <v>108</v>
      </c>
      <c r="E35" s="38" t="s">
        <v>109</v>
      </c>
      <c r="F35" s="42"/>
      <c r="G35" s="39"/>
      <c r="H35" s="40"/>
    </row>
    <row r="36" spans="1:8">
      <c r="A36" s="80"/>
      <c r="B36" s="42"/>
      <c r="C36" s="38"/>
      <c r="D36" s="46"/>
      <c r="E36" s="47"/>
      <c r="F36" s="38"/>
      <c r="G36" s="71"/>
      <c r="H36" s="40"/>
    </row>
    <row r="37" spans="1:8">
      <c r="A37" s="123"/>
      <c r="B37" s="125" t="s">
        <v>110</v>
      </c>
      <c r="C37" s="38"/>
      <c r="D37" s="46"/>
      <c r="E37" s="38"/>
      <c r="F37" s="42"/>
      <c r="G37" s="39"/>
      <c r="H37" s="40"/>
    </row>
    <row r="38" spans="1:8" ht="47.25">
      <c r="A38" s="124"/>
      <c r="B38" s="126"/>
      <c r="C38" s="112" t="s">
        <v>62</v>
      </c>
      <c r="D38" s="51" t="s">
        <v>63</v>
      </c>
      <c r="E38" s="38" t="s">
        <v>111</v>
      </c>
      <c r="F38" s="42"/>
      <c r="G38" s="39"/>
      <c r="H38" s="40"/>
    </row>
    <row r="39" spans="1:8" ht="47.25">
      <c r="A39" s="124"/>
      <c r="B39" s="126"/>
      <c r="C39" s="113"/>
      <c r="D39" s="51" t="s">
        <v>112</v>
      </c>
      <c r="E39" s="38" t="s">
        <v>113</v>
      </c>
      <c r="F39" s="42"/>
      <c r="G39" s="39"/>
      <c r="H39" s="40"/>
    </row>
    <row r="40" spans="1:8">
      <c r="A40" s="124"/>
      <c r="B40" s="126"/>
      <c r="C40" s="113"/>
      <c r="D40" s="50" t="s">
        <v>114</v>
      </c>
      <c r="E40" s="38" t="s">
        <v>115</v>
      </c>
      <c r="F40" s="42"/>
      <c r="G40" s="39"/>
      <c r="H40" s="40"/>
    </row>
    <row r="41" spans="1:8" ht="31.5">
      <c r="A41" s="124"/>
      <c r="B41" s="126"/>
      <c r="C41" s="114"/>
      <c r="D41" s="50" t="s">
        <v>116</v>
      </c>
      <c r="E41" s="38" t="s">
        <v>117</v>
      </c>
      <c r="F41" s="42"/>
      <c r="G41" s="39" t="s">
        <v>118</v>
      </c>
      <c r="H41" s="40"/>
    </row>
    <row r="42" spans="1:8">
      <c r="A42" s="124"/>
      <c r="B42" s="126"/>
      <c r="C42" s="112" t="s">
        <v>119</v>
      </c>
      <c r="D42" s="50" t="s">
        <v>120</v>
      </c>
      <c r="E42" s="38" t="s">
        <v>121</v>
      </c>
      <c r="F42" s="42"/>
      <c r="G42" s="71"/>
      <c r="H42" s="40"/>
    </row>
    <row r="43" spans="1:8" ht="31.5">
      <c r="A43" s="124"/>
      <c r="B43" s="126"/>
      <c r="C43" s="113"/>
      <c r="D43" s="51" t="s">
        <v>122</v>
      </c>
      <c r="E43" s="38" t="s">
        <v>123</v>
      </c>
      <c r="F43" s="42"/>
      <c r="G43" s="71"/>
      <c r="H43" s="40"/>
    </row>
    <row r="44" spans="1:8" ht="63">
      <c r="A44" s="124"/>
      <c r="B44" s="126"/>
      <c r="C44" s="113"/>
      <c r="D44" s="50" t="s">
        <v>124</v>
      </c>
      <c r="E44" s="38" t="s">
        <v>125</v>
      </c>
      <c r="F44" s="42"/>
      <c r="G44" s="71"/>
      <c r="H44" s="40"/>
    </row>
    <row r="45" spans="1:8" ht="110.25">
      <c r="A45" s="124"/>
      <c r="B45" s="126"/>
      <c r="C45" s="113"/>
      <c r="D45" s="50" t="s">
        <v>126</v>
      </c>
      <c r="E45" s="38" t="s">
        <v>127</v>
      </c>
      <c r="F45" s="42"/>
      <c r="G45" s="71"/>
      <c r="H45" s="40"/>
    </row>
    <row r="46" spans="1:8">
      <c r="A46" s="124"/>
      <c r="B46" s="126"/>
      <c r="C46" s="113"/>
      <c r="D46" s="50" t="s">
        <v>128</v>
      </c>
      <c r="E46" s="38" t="s">
        <v>129</v>
      </c>
      <c r="F46" s="42"/>
      <c r="G46" s="71"/>
      <c r="H46" s="40"/>
    </row>
    <row r="47" spans="1:8" ht="47.25">
      <c r="A47" s="124"/>
      <c r="B47" s="126"/>
      <c r="C47" s="113"/>
      <c r="D47" s="50" t="s">
        <v>130</v>
      </c>
      <c r="E47" s="38" t="s">
        <v>131</v>
      </c>
      <c r="F47" s="42"/>
      <c r="G47" s="71"/>
      <c r="H47" s="40"/>
    </row>
    <row r="48" spans="1:8">
      <c r="A48" s="124"/>
      <c r="B48" s="126"/>
      <c r="C48" s="113"/>
      <c r="D48" s="50" t="s">
        <v>132</v>
      </c>
      <c r="E48" s="38" t="s">
        <v>133</v>
      </c>
      <c r="F48" s="42"/>
      <c r="G48" s="71"/>
      <c r="H48" s="40"/>
    </row>
    <row r="49" spans="1:8" ht="47.25">
      <c r="A49" s="124"/>
      <c r="B49" s="126"/>
      <c r="C49" s="113"/>
      <c r="D49" s="50" t="s">
        <v>134</v>
      </c>
      <c r="E49" s="38" t="s">
        <v>135</v>
      </c>
      <c r="F49" s="42"/>
      <c r="G49" s="71"/>
      <c r="H49" s="40"/>
    </row>
    <row r="50" spans="1:8" ht="63">
      <c r="A50" s="128"/>
      <c r="B50" s="127"/>
      <c r="C50" s="114"/>
      <c r="D50" s="50" t="s">
        <v>136</v>
      </c>
      <c r="E50" s="38" t="s">
        <v>137</v>
      </c>
      <c r="F50" s="42"/>
      <c r="G50" s="71"/>
      <c r="H50" s="40"/>
    </row>
    <row r="51" spans="1:8">
      <c r="A51" s="80"/>
      <c r="B51" s="79"/>
      <c r="C51" s="77"/>
      <c r="D51" s="50"/>
      <c r="E51" s="38"/>
      <c r="F51" s="42"/>
      <c r="G51" s="71"/>
      <c r="H51" s="40"/>
    </row>
    <row r="52" spans="1:8">
      <c r="A52" s="123"/>
      <c r="B52" s="125" t="s">
        <v>138</v>
      </c>
      <c r="C52" s="77"/>
      <c r="D52" s="50"/>
      <c r="E52" s="38"/>
      <c r="F52" s="42"/>
      <c r="G52" s="71"/>
      <c r="H52" s="40"/>
    </row>
    <row r="53" spans="1:8" ht="47.25">
      <c r="A53" s="124"/>
      <c r="B53" s="126"/>
      <c r="C53" s="112" t="s">
        <v>62</v>
      </c>
      <c r="D53" s="51" t="s">
        <v>63</v>
      </c>
      <c r="E53" s="38" t="s">
        <v>139</v>
      </c>
      <c r="F53" s="42"/>
      <c r="G53" s="71"/>
      <c r="H53" s="40"/>
    </row>
    <row r="54" spans="1:8" ht="47.25">
      <c r="A54" s="124"/>
      <c r="B54" s="126"/>
      <c r="C54" s="113"/>
      <c r="D54" s="51" t="s">
        <v>112</v>
      </c>
      <c r="E54" s="38" t="s">
        <v>113</v>
      </c>
      <c r="F54" s="42"/>
      <c r="G54" s="71"/>
      <c r="H54" s="40"/>
    </row>
    <row r="55" spans="1:8">
      <c r="A55" s="124"/>
      <c r="B55" s="126"/>
      <c r="C55" s="113"/>
      <c r="D55" s="50" t="s">
        <v>114</v>
      </c>
      <c r="E55" s="38" t="s">
        <v>115</v>
      </c>
      <c r="F55" s="42"/>
      <c r="G55" s="71"/>
      <c r="H55" s="40"/>
    </row>
    <row r="56" spans="1:8" ht="31.5">
      <c r="A56" s="124"/>
      <c r="B56" s="126"/>
      <c r="C56" s="114"/>
      <c r="D56" s="50" t="s">
        <v>116</v>
      </c>
      <c r="E56" s="38" t="s">
        <v>117</v>
      </c>
      <c r="F56" s="42"/>
      <c r="G56" s="71"/>
      <c r="H56" s="40"/>
    </row>
    <row r="57" spans="1:8">
      <c r="A57" s="124"/>
      <c r="B57" s="126"/>
      <c r="C57" s="112" t="s">
        <v>119</v>
      </c>
      <c r="D57" s="50" t="s">
        <v>120</v>
      </c>
      <c r="E57" s="38" t="s">
        <v>140</v>
      </c>
      <c r="F57" s="42"/>
      <c r="G57" s="71"/>
      <c r="H57" s="40"/>
    </row>
    <row r="58" spans="1:8" ht="110.25">
      <c r="A58" s="124"/>
      <c r="B58" s="126"/>
      <c r="C58" s="113"/>
      <c r="D58" s="50" t="s">
        <v>126</v>
      </c>
      <c r="E58" s="38" t="s">
        <v>141</v>
      </c>
      <c r="F58" s="42"/>
      <c r="G58" s="71"/>
      <c r="H58" s="40"/>
    </row>
    <row r="59" spans="1:8" ht="47.25">
      <c r="A59" s="124"/>
      <c r="B59" s="126"/>
      <c r="C59" s="113"/>
      <c r="D59" s="50" t="s">
        <v>128</v>
      </c>
      <c r="E59" s="38" t="s">
        <v>142</v>
      </c>
      <c r="F59" s="42"/>
      <c r="G59" s="71"/>
      <c r="H59" s="40"/>
    </row>
    <row r="60" spans="1:8" ht="78.75">
      <c r="A60" s="124"/>
      <c r="B60" s="126"/>
      <c r="C60" s="113"/>
      <c r="D60" s="50" t="s">
        <v>143</v>
      </c>
      <c r="E60" s="38" t="s">
        <v>144</v>
      </c>
      <c r="F60" s="42"/>
      <c r="G60" s="71"/>
      <c r="H60" s="40"/>
    </row>
    <row r="61" spans="1:8" ht="31.5">
      <c r="A61" s="124"/>
      <c r="B61" s="126"/>
      <c r="C61" s="113"/>
      <c r="D61" s="54" t="s">
        <v>145</v>
      </c>
      <c r="E61" s="38" t="s">
        <v>146</v>
      </c>
      <c r="F61" s="42"/>
      <c r="G61" s="71"/>
      <c r="H61" s="40"/>
    </row>
    <row r="62" spans="1:8" ht="94.5">
      <c r="A62" s="128"/>
      <c r="B62" s="127"/>
      <c r="C62" s="114"/>
      <c r="D62" s="50" t="s">
        <v>136</v>
      </c>
      <c r="E62" s="38" t="s">
        <v>147</v>
      </c>
      <c r="F62" s="42"/>
      <c r="G62" s="71"/>
      <c r="H62" s="40"/>
    </row>
    <row r="63" spans="1:8">
      <c r="A63" s="80"/>
      <c r="B63" s="79"/>
      <c r="C63" s="77"/>
      <c r="D63" s="50"/>
      <c r="E63" s="38"/>
      <c r="F63" s="42"/>
      <c r="G63" s="71"/>
      <c r="H63" s="40"/>
    </row>
    <row r="64" spans="1:8" ht="18.75" customHeight="1">
      <c r="A64" s="123"/>
      <c r="B64" s="115" t="s">
        <v>148</v>
      </c>
      <c r="C64" s="38"/>
      <c r="D64" s="50"/>
      <c r="E64" s="38"/>
      <c r="F64" s="42"/>
      <c r="G64" s="39"/>
      <c r="H64" s="40"/>
    </row>
    <row r="65" spans="1:8" ht="47.25">
      <c r="A65" s="124"/>
      <c r="B65" s="116"/>
      <c r="C65" s="112" t="s">
        <v>62</v>
      </c>
      <c r="D65" s="50" t="s">
        <v>63</v>
      </c>
      <c r="E65" s="38" t="s">
        <v>149</v>
      </c>
      <c r="F65" s="42"/>
      <c r="G65" s="39"/>
      <c r="H65" s="40"/>
    </row>
    <row r="66" spans="1:8" ht="47.25">
      <c r="A66" s="124"/>
      <c r="B66" s="116"/>
      <c r="C66" s="113"/>
      <c r="D66" s="50" t="s">
        <v>150</v>
      </c>
      <c r="E66" s="38" t="s">
        <v>113</v>
      </c>
      <c r="F66" s="42"/>
      <c r="G66" s="39"/>
      <c r="H66" s="40"/>
    </row>
    <row r="67" spans="1:8">
      <c r="A67" s="124"/>
      <c r="B67" s="116"/>
      <c r="C67" s="113"/>
      <c r="D67" s="50" t="s">
        <v>114</v>
      </c>
      <c r="E67" s="38" t="s">
        <v>115</v>
      </c>
      <c r="F67" s="42"/>
      <c r="G67" s="39"/>
      <c r="H67" s="40"/>
    </row>
    <row r="68" spans="1:8" ht="31.5">
      <c r="A68" s="124"/>
      <c r="B68" s="116"/>
      <c r="C68" s="114"/>
      <c r="D68" s="50" t="s">
        <v>116</v>
      </c>
      <c r="E68" s="38" t="s">
        <v>117</v>
      </c>
      <c r="F68" s="42"/>
      <c r="G68" s="39"/>
      <c r="H68" s="40"/>
    </row>
    <row r="69" spans="1:8">
      <c r="A69" s="124"/>
      <c r="B69" s="116"/>
      <c r="C69" s="112" t="s">
        <v>119</v>
      </c>
      <c r="D69" s="50" t="s">
        <v>120</v>
      </c>
      <c r="E69" s="38" t="s">
        <v>151</v>
      </c>
      <c r="F69" s="42"/>
      <c r="G69" s="39"/>
      <c r="H69" s="40"/>
    </row>
    <row r="70" spans="1:8" ht="126">
      <c r="A70" s="124"/>
      <c r="B70" s="116"/>
      <c r="C70" s="113"/>
      <c r="D70" s="50" t="s">
        <v>126</v>
      </c>
      <c r="E70" s="38" t="s">
        <v>152</v>
      </c>
      <c r="F70" s="42"/>
      <c r="G70" s="39"/>
      <c r="H70" s="40"/>
    </row>
    <row r="71" spans="1:8" ht="47.25">
      <c r="A71" s="124"/>
      <c r="B71" s="116"/>
      <c r="C71" s="113"/>
      <c r="D71" s="50" t="s">
        <v>128</v>
      </c>
      <c r="E71" s="38" t="s">
        <v>153</v>
      </c>
      <c r="F71" s="42"/>
      <c r="G71" s="39"/>
      <c r="H71" s="40"/>
    </row>
    <row r="72" spans="1:8" ht="173.25">
      <c r="A72" s="124"/>
      <c r="B72" s="116"/>
      <c r="C72" s="113"/>
      <c r="D72" s="50" t="s">
        <v>154</v>
      </c>
      <c r="E72" s="38" t="s">
        <v>155</v>
      </c>
      <c r="F72" s="42"/>
      <c r="G72" s="39"/>
      <c r="H72" s="40"/>
    </row>
    <row r="73" spans="1:8" ht="47.25">
      <c r="A73" s="124"/>
      <c r="B73" s="116"/>
      <c r="C73" s="113"/>
      <c r="D73" s="50" t="s">
        <v>156</v>
      </c>
      <c r="E73" s="38" t="s">
        <v>157</v>
      </c>
      <c r="F73" s="42"/>
      <c r="G73" s="39"/>
      <c r="H73" s="40"/>
    </row>
    <row r="74" spans="1:8" ht="78.75">
      <c r="A74" s="128"/>
      <c r="B74" s="117"/>
      <c r="C74" s="114"/>
      <c r="D74" s="50" t="s">
        <v>136</v>
      </c>
      <c r="E74" s="38" t="s">
        <v>158</v>
      </c>
      <c r="F74" s="42"/>
      <c r="G74" s="39"/>
      <c r="H74" s="40"/>
    </row>
    <row r="75" spans="1:8">
      <c r="A75" s="80"/>
      <c r="B75" s="42"/>
      <c r="C75" s="38"/>
      <c r="D75" s="50"/>
      <c r="E75" s="38"/>
      <c r="F75" s="42"/>
      <c r="G75" s="39"/>
      <c r="H75" s="40"/>
    </row>
    <row r="76" spans="1:8">
      <c r="A76" s="123"/>
      <c r="B76" s="115" t="s">
        <v>159</v>
      </c>
      <c r="C76" s="38"/>
      <c r="D76" s="50"/>
      <c r="E76" s="38"/>
      <c r="F76" s="42"/>
      <c r="G76" s="39"/>
      <c r="H76" s="40"/>
    </row>
    <row r="77" spans="1:8" ht="47.25">
      <c r="A77" s="124"/>
      <c r="B77" s="116"/>
      <c r="C77" s="112" t="s">
        <v>62</v>
      </c>
      <c r="D77" s="50" t="s">
        <v>63</v>
      </c>
      <c r="E77" s="38" t="s">
        <v>160</v>
      </c>
      <c r="F77" s="42"/>
      <c r="G77" s="39"/>
      <c r="H77" s="40"/>
    </row>
    <row r="78" spans="1:8" ht="47.25">
      <c r="A78" s="124"/>
      <c r="B78" s="116"/>
      <c r="C78" s="113"/>
      <c r="D78" s="50" t="s">
        <v>150</v>
      </c>
      <c r="E78" s="38" t="s">
        <v>113</v>
      </c>
      <c r="F78" s="42"/>
      <c r="G78" s="39"/>
      <c r="H78" s="40"/>
    </row>
    <row r="79" spans="1:8">
      <c r="A79" s="124"/>
      <c r="B79" s="116"/>
      <c r="C79" s="113"/>
      <c r="D79" s="50" t="s">
        <v>114</v>
      </c>
      <c r="E79" s="38" t="s">
        <v>115</v>
      </c>
      <c r="F79" s="42"/>
      <c r="G79" s="39"/>
      <c r="H79" s="40"/>
    </row>
    <row r="80" spans="1:8" ht="31.5">
      <c r="A80" s="124"/>
      <c r="B80" s="116"/>
      <c r="C80" s="114"/>
      <c r="D80" s="50" t="s">
        <v>116</v>
      </c>
      <c r="E80" s="38" t="s">
        <v>117</v>
      </c>
      <c r="F80" s="42"/>
      <c r="G80" s="39"/>
      <c r="H80" s="40"/>
    </row>
    <row r="81" spans="1:8">
      <c r="A81" s="124"/>
      <c r="B81" s="116"/>
      <c r="C81" s="112" t="s">
        <v>119</v>
      </c>
      <c r="D81" s="50" t="s">
        <v>120</v>
      </c>
      <c r="E81" s="38" t="s">
        <v>151</v>
      </c>
      <c r="F81" s="42"/>
      <c r="G81" s="39"/>
      <c r="H81" s="40"/>
    </row>
    <row r="82" spans="1:8" ht="126">
      <c r="A82" s="124"/>
      <c r="B82" s="116"/>
      <c r="C82" s="113"/>
      <c r="D82" s="50" t="s">
        <v>126</v>
      </c>
      <c r="E82" s="38" t="s">
        <v>161</v>
      </c>
      <c r="F82" s="42"/>
      <c r="G82" s="39"/>
      <c r="H82" s="40"/>
    </row>
    <row r="83" spans="1:8" ht="47.25">
      <c r="A83" s="124"/>
      <c r="B83" s="116"/>
      <c r="C83" s="113"/>
      <c r="D83" s="50" t="s">
        <v>128</v>
      </c>
      <c r="E83" s="38" t="s">
        <v>153</v>
      </c>
      <c r="F83" s="42"/>
      <c r="G83" s="39"/>
      <c r="H83" s="40"/>
    </row>
    <row r="84" spans="1:8" ht="110.25">
      <c r="A84" s="124"/>
      <c r="B84" s="116"/>
      <c r="C84" s="113"/>
      <c r="D84" s="50" t="s">
        <v>154</v>
      </c>
      <c r="E84" s="38" t="s">
        <v>162</v>
      </c>
      <c r="F84" s="42"/>
      <c r="G84" s="39"/>
      <c r="H84" s="40"/>
    </row>
    <row r="85" spans="1:8" ht="63">
      <c r="A85" s="128"/>
      <c r="B85" s="117"/>
      <c r="C85" s="114"/>
      <c r="D85" s="50" t="s">
        <v>136</v>
      </c>
      <c r="E85" s="38" t="s">
        <v>163</v>
      </c>
      <c r="F85" s="42"/>
      <c r="G85" s="39"/>
      <c r="H85" s="40"/>
    </row>
    <row r="86" spans="1:8">
      <c r="A86" s="80"/>
      <c r="B86" s="65"/>
      <c r="C86" s="38"/>
      <c r="D86" s="50"/>
      <c r="E86" s="38"/>
      <c r="F86" s="42"/>
      <c r="G86" s="39"/>
      <c r="H86" s="40"/>
    </row>
    <row r="87" spans="1:8">
      <c r="A87" s="123"/>
      <c r="B87" s="115" t="s">
        <v>164</v>
      </c>
      <c r="C87" s="38"/>
      <c r="D87" s="50"/>
      <c r="E87" s="38"/>
      <c r="F87" s="42"/>
      <c r="G87" s="39"/>
      <c r="H87" s="40"/>
    </row>
    <row r="88" spans="1:8" ht="63">
      <c r="A88" s="124"/>
      <c r="B88" s="116"/>
      <c r="C88" s="112" t="s">
        <v>62</v>
      </c>
      <c r="D88" s="50" t="s">
        <v>63</v>
      </c>
      <c r="E88" s="38" t="s">
        <v>165</v>
      </c>
      <c r="F88" s="42"/>
      <c r="G88" s="39"/>
      <c r="H88" s="40"/>
    </row>
    <row r="89" spans="1:8" ht="47.25">
      <c r="A89" s="124"/>
      <c r="B89" s="116"/>
      <c r="C89" s="113"/>
      <c r="D89" s="50" t="s">
        <v>150</v>
      </c>
      <c r="E89" s="38" t="s">
        <v>113</v>
      </c>
      <c r="F89" s="42"/>
      <c r="G89" s="39"/>
      <c r="H89" s="40"/>
    </row>
    <row r="90" spans="1:8">
      <c r="A90" s="124"/>
      <c r="B90" s="116"/>
      <c r="C90" s="113"/>
      <c r="D90" s="50" t="s">
        <v>114</v>
      </c>
      <c r="E90" s="38" t="s">
        <v>115</v>
      </c>
      <c r="F90" s="42"/>
      <c r="G90" s="39"/>
      <c r="H90" s="40"/>
    </row>
    <row r="91" spans="1:8" ht="31.5">
      <c r="A91" s="124"/>
      <c r="B91" s="116"/>
      <c r="C91" s="114"/>
      <c r="D91" s="50" t="s">
        <v>116</v>
      </c>
      <c r="E91" s="38" t="s">
        <v>117</v>
      </c>
      <c r="F91" s="42"/>
      <c r="G91" s="39"/>
      <c r="H91" s="40"/>
    </row>
    <row r="92" spans="1:8">
      <c r="A92" s="124"/>
      <c r="B92" s="116"/>
      <c r="C92" s="112" t="s">
        <v>119</v>
      </c>
      <c r="D92" s="50" t="s">
        <v>120</v>
      </c>
      <c r="E92" s="38" t="s">
        <v>151</v>
      </c>
      <c r="F92" s="42"/>
      <c r="G92" s="39"/>
      <c r="H92" s="40"/>
    </row>
    <row r="93" spans="1:8" ht="126">
      <c r="A93" s="124"/>
      <c r="B93" s="116"/>
      <c r="C93" s="113"/>
      <c r="D93" s="50" t="s">
        <v>126</v>
      </c>
      <c r="E93" s="38" t="s">
        <v>161</v>
      </c>
      <c r="F93" s="42"/>
      <c r="G93" s="39"/>
      <c r="H93" s="40"/>
    </row>
    <row r="94" spans="1:8" ht="47.25">
      <c r="A94" s="124"/>
      <c r="B94" s="116"/>
      <c r="C94" s="113"/>
      <c r="D94" s="50" t="s">
        <v>128</v>
      </c>
      <c r="E94" s="38" t="s">
        <v>166</v>
      </c>
      <c r="F94" s="42"/>
      <c r="G94" s="39"/>
      <c r="H94" s="40"/>
    </row>
    <row r="95" spans="1:8" ht="31.5">
      <c r="A95" s="124"/>
      <c r="B95" s="116"/>
      <c r="C95" s="113"/>
      <c r="D95" s="50" t="s">
        <v>167</v>
      </c>
      <c r="E95" s="53" t="s">
        <v>168</v>
      </c>
      <c r="F95" s="42"/>
      <c r="G95" s="39"/>
      <c r="H95" s="40"/>
    </row>
    <row r="96" spans="1:8" ht="31.5">
      <c r="A96" s="124"/>
      <c r="B96" s="116"/>
      <c r="C96" s="113"/>
      <c r="D96" s="50" t="s">
        <v>169</v>
      </c>
      <c r="E96" s="38" t="s">
        <v>170</v>
      </c>
      <c r="F96" s="42"/>
      <c r="G96" s="39"/>
      <c r="H96" s="40"/>
    </row>
    <row r="97" spans="1:8" ht="47.25">
      <c r="A97" s="128"/>
      <c r="B97" s="117"/>
      <c r="C97" s="114"/>
      <c r="D97" s="50" t="s">
        <v>136</v>
      </c>
      <c r="E97" s="38" t="s">
        <v>171</v>
      </c>
      <c r="F97" s="42"/>
      <c r="G97" s="39"/>
      <c r="H97" s="40"/>
    </row>
    <row r="98" spans="1:8">
      <c r="A98" s="80"/>
      <c r="B98" s="65"/>
      <c r="C98" s="38"/>
      <c r="D98" s="50"/>
      <c r="E98" s="38"/>
      <c r="F98" s="42"/>
      <c r="G98" s="39"/>
      <c r="H98" s="40"/>
    </row>
    <row r="99" spans="1:8">
      <c r="A99" s="123"/>
      <c r="B99" s="115" t="s">
        <v>172</v>
      </c>
      <c r="C99" s="44"/>
      <c r="D99" s="80"/>
      <c r="E99" s="42"/>
      <c r="F99" s="42"/>
      <c r="G99" s="39"/>
      <c r="H99" s="40"/>
    </row>
    <row r="100" spans="1:8" ht="47.25">
      <c r="A100" s="124"/>
      <c r="B100" s="116"/>
      <c r="C100" s="112" t="s">
        <v>62</v>
      </c>
      <c r="D100" s="50" t="s">
        <v>63</v>
      </c>
      <c r="E100" s="38" t="s">
        <v>173</v>
      </c>
      <c r="F100" s="42"/>
      <c r="G100" s="39"/>
      <c r="H100" s="40"/>
    </row>
    <row r="101" spans="1:8" ht="47.25">
      <c r="A101" s="124"/>
      <c r="B101" s="116"/>
      <c r="C101" s="113"/>
      <c r="D101" s="50" t="s">
        <v>150</v>
      </c>
      <c r="E101" s="38" t="s">
        <v>113</v>
      </c>
      <c r="F101" s="42"/>
      <c r="G101" s="39"/>
      <c r="H101" s="40"/>
    </row>
    <row r="102" spans="1:8">
      <c r="A102" s="124"/>
      <c r="B102" s="116"/>
      <c r="C102" s="113"/>
      <c r="D102" s="50" t="s">
        <v>114</v>
      </c>
      <c r="E102" s="38" t="s">
        <v>115</v>
      </c>
      <c r="F102" s="42"/>
      <c r="G102" s="39"/>
      <c r="H102" s="40"/>
    </row>
    <row r="103" spans="1:8" ht="31.5">
      <c r="A103" s="124"/>
      <c r="B103" s="116"/>
      <c r="C103" s="114"/>
      <c r="D103" s="50" t="s">
        <v>116</v>
      </c>
      <c r="E103" s="38" t="s">
        <v>117</v>
      </c>
      <c r="F103" s="42"/>
      <c r="G103" s="39"/>
      <c r="H103" s="40"/>
    </row>
    <row r="104" spans="1:8">
      <c r="A104" s="124"/>
      <c r="B104" s="116"/>
      <c r="C104" s="112" t="s">
        <v>119</v>
      </c>
      <c r="D104" s="50" t="s">
        <v>120</v>
      </c>
      <c r="E104" s="38" t="s">
        <v>174</v>
      </c>
      <c r="F104" s="42"/>
      <c r="G104" s="39"/>
      <c r="H104" s="40"/>
    </row>
    <row r="105" spans="1:8" ht="126">
      <c r="A105" s="124"/>
      <c r="B105" s="116"/>
      <c r="C105" s="113"/>
      <c r="D105" s="50" t="s">
        <v>126</v>
      </c>
      <c r="E105" s="38" t="s">
        <v>161</v>
      </c>
      <c r="F105" s="42"/>
      <c r="G105" s="39"/>
      <c r="H105" s="40"/>
    </row>
    <row r="106" spans="1:8" ht="78.75">
      <c r="A106" s="124"/>
      <c r="B106" s="116"/>
      <c r="C106" s="113"/>
      <c r="D106" s="50" t="s">
        <v>128</v>
      </c>
      <c r="E106" s="38" t="s">
        <v>175</v>
      </c>
      <c r="F106" s="42"/>
      <c r="G106" s="39"/>
      <c r="H106" s="40"/>
    </row>
    <row r="107" spans="1:8" ht="63">
      <c r="A107" s="124"/>
      <c r="B107" s="116"/>
      <c r="C107" s="113"/>
      <c r="D107" s="50" t="s">
        <v>167</v>
      </c>
      <c r="E107" s="53" t="s">
        <v>176</v>
      </c>
      <c r="F107" s="42"/>
      <c r="G107" s="39"/>
      <c r="H107" s="40"/>
    </row>
    <row r="108" spans="1:8" ht="31.5">
      <c r="A108" s="124"/>
      <c r="B108" s="116"/>
      <c r="C108" s="113"/>
      <c r="D108" s="50" t="s">
        <v>169</v>
      </c>
      <c r="E108" s="38" t="s">
        <v>170</v>
      </c>
      <c r="F108" s="42"/>
      <c r="G108" s="39"/>
      <c r="H108" s="40"/>
    </row>
    <row r="109" spans="1:8" ht="31.5">
      <c r="A109" s="128"/>
      <c r="B109" s="117"/>
      <c r="C109" s="114"/>
      <c r="D109" s="50" t="s">
        <v>136</v>
      </c>
      <c r="E109" s="38" t="s">
        <v>177</v>
      </c>
      <c r="F109" s="42"/>
      <c r="G109" s="39"/>
      <c r="H109" s="40"/>
    </row>
    <row r="110" spans="1:8">
      <c r="A110" s="80"/>
      <c r="B110" s="78"/>
      <c r="C110" s="77"/>
      <c r="D110" s="50"/>
      <c r="E110" s="38"/>
      <c r="F110" s="42"/>
      <c r="G110" s="39"/>
      <c r="H110" s="40"/>
    </row>
    <row r="111" spans="1:8">
      <c r="A111" s="123"/>
      <c r="B111" s="115" t="s">
        <v>178</v>
      </c>
      <c r="C111" s="77"/>
      <c r="D111" s="50"/>
      <c r="E111" s="38"/>
      <c r="F111" s="42"/>
      <c r="G111" s="39"/>
      <c r="H111" s="40"/>
    </row>
    <row r="112" spans="1:8" ht="47.25">
      <c r="A112" s="124"/>
      <c r="B112" s="116"/>
      <c r="C112" s="112" t="s">
        <v>62</v>
      </c>
      <c r="D112" s="50" t="s">
        <v>63</v>
      </c>
      <c r="E112" s="38" t="s">
        <v>179</v>
      </c>
      <c r="F112" s="42"/>
      <c r="G112" s="39"/>
      <c r="H112" s="40"/>
    </row>
    <row r="113" spans="1:8" ht="47.25">
      <c r="A113" s="124"/>
      <c r="B113" s="116"/>
      <c r="C113" s="113"/>
      <c r="D113" s="50" t="s">
        <v>150</v>
      </c>
      <c r="E113" s="38" t="s">
        <v>113</v>
      </c>
      <c r="F113" s="42"/>
      <c r="G113" s="39"/>
      <c r="H113" s="40"/>
    </row>
    <row r="114" spans="1:8">
      <c r="A114" s="124"/>
      <c r="B114" s="116"/>
      <c r="C114" s="113"/>
      <c r="D114" s="50" t="s">
        <v>114</v>
      </c>
      <c r="E114" s="38" t="s">
        <v>115</v>
      </c>
      <c r="F114" s="42"/>
      <c r="G114" s="39"/>
      <c r="H114" s="40"/>
    </row>
    <row r="115" spans="1:8" ht="31.5">
      <c r="A115" s="124"/>
      <c r="B115" s="116"/>
      <c r="C115" s="114"/>
      <c r="D115" s="50" t="s">
        <v>116</v>
      </c>
      <c r="E115" s="38" t="s">
        <v>117</v>
      </c>
      <c r="F115" s="42"/>
      <c r="G115" s="39"/>
      <c r="H115" s="40"/>
    </row>
    <row r="116" spans="1:8">
      <c r="A116" s="124"/>
      <c r="B116" s="116"/>
      <c r="C116" s="112" t="s">
        <v>119</v>
      </c>
      <c r="D116" s="50" t="s">
        <v>120</v>
      </c>
      <c r="E116" s="38" t="s">
        <v>180</v>
      </c>
      <c r="F116" s="42"/>
      <c r="G116" s="39"/>
      <c r="H116" s="40"/>
    </row>
    <row r="117" spans="1:8" ht="63">
      <c r="A117" s="124"/>
      <c r="B117" s="116"/>
      <c r="C117" s="113"/>
      <c r="D117" s="50" t="s">
        <v>181</v>
      </c>
      <c r="E117" s="38" t="s">
        <v>182</v>
      </c>
      <c r="F117" s="42"/>
      <c r="G117" s="39"/>
      <c r="H117" s="40"/>
    </row>
    <row r="118" spans="1:8" ht="126">
      <c r="A118" s="124"/>
      <c r="B118" s="116"/>
      <c r="C118" s="113"/>
      <c r="D118" s="50" t="s">
        <v>126</v>
      </c>
      <c r="E118" s="38" t="s">
        <v>161</v>
      </c>
      <c r="F118" s="42"/>
      <c r="G118" s="39"/>
      <c r="H118" s="40"/>
    </row>
    <row r="119" spans="1:8" ht="47.25">
      <c r="A119" s="124"/>
      <c r="B119" s="116"/>
      <c r="C119" s="113"/>
      <c r="D119" s="50" t="s">
        <v>128</v>
      </c>
      <c r="E119" s="38" t="s">
        <v>183</v>
      </c>
      <c r="F119" s="42"/>
      <c r="G119" s="39"/>
      <c r="H119" s="40"/>
    </row>
    <row r="120" spans="1:8" ht="126">
      <c r="A120" s="124"/>
      <c r="B120" s="116"/>
      <c r="C120" s="113"/>
      <c r="D120" s="50" t="s">
        <v>184</v>
      </c>
      <c r="E120" s="38" t="s">
        <v>185</v>
      </c>
      <c r="F120" s="42"/>
      <c r="G120" s="39"/>
      <c r="H120" s="40"/>
    </row>
    <row r="121" spans="1:8" ht="63">
      <c r="A121" s="124"/>
      <c r="B121" s="116"/>
      <c r="C121" s="113"/>
      <c r="D121" s="50" t="s">
        <v>186</v>
      </c>
      <c r="E121" s="38" t="s">
        <v>187</v>
      </c>
      <c r="F121" s="42"/>
      <c r="G121" s="39"/>
      <c r="H121" s="40"/>
    </row>
    <row r="122" spans="1:8">
      <c r="A122" s="124"/>
      <c r="B122" s="116"/>
      <c r="C122" s="113"/>
      <c r="D122" s="67" t="s">
        <v>188</v>
      </c>
      <c r="E122" s="55" t="s">
        <v>189</v>
      </c>
      <c r="F122" s="42"/>
      <c r="G122" s="39"/>
      <c r="H122" s="40"/>
    </row>
    <row r="123" spans="1:8" ht="47.25">
      <c r="A123" s="128"/>
      <c r="B123" s="117"/>
      <c r="C123" s="114"/>
      <c r="D123" s="50" t="s">
        <v>136</v>
      </c>
      <c r="E123" s="38" t="s">
        <v>190</v>
      </c>
      <c r="F123" s="42"/>
      <c r="G123" s="39"/>
      <c r="H123" s="40"/>
    </row>
    <row r="124" spans="1:8">
      <c r="A124" s="80"/>
      <c r="B124" s="66"/>
      <c r="C124" s="64"/>
      <c r="D124" s="50"/>
      <c r="E124" s="38"/>
      <c r="F124" s="42"/>
      <c r="G124" s="39"/>
      <c r="H124" s="40"/>
    </row>
    <row r="125" spans="1:8">
      <c r="A125" s="123"/>
      <c r="B125" s="115" t="s">
        <v>191</v>
      </c>
      <c r="C125" s="77"/>
      <c r="D125" s="50"/>
      <c r="E125" s="38"/>
      <c r="F125" s="42"/>
      <c r="G125" s="39"/>
      <c r="H125" s="40"/>
    </row>
    <row r="126" spans="1:8" ht="47.25">
      <c r="A126" s="124"/>
      <c r="B126" s="116"/>
      <c r="C126" s="112" t="s">
        <v>62</v>
      </c>
      <c r="D126" s="50" t="s">
        <v>63</v>
      </c>
      <c r="E126" s="38" t="s">
        <v>192</v>
      </c>
      <c r="F126" s="42"/>
      <c r="G126" s="39"/>
      <c r="H126" s="40"/>
    </row>
    <row r="127" spans="1:8" ht="47.25">
      <c r="A127" s="124"/>
      <c r="B127" s="116"/>
      <c r="C127" s="113"/>
      <c r="D127" s="50" t="s">
        <v>150</v>
      </c>
      <c r="E127" s="38" t="s">
        <v>113</v>
      </c>
      <c r="F127" s="42"/>
      <c r="G127" s="39"/>
      <c r="H127" s="40"/>
    </row>
    <row r="128" spans="1:8">
      <c r="A128" s="124"/>
      <c r="B128" s="116"/>
      <c r="C128" s="113"/>
      <c r="D128" s="50" t="s">
        <v>114</v>
      </c>
      <c r="E128" s="38" t="s">
        <v>115</v>
      </c>
      <c r="F128" s="42"/>
      <c r="G128" s="39"/>
      <c r="H128" s="40"/>
    </row>
    <row r="129" spans="1:8" ht="31.5">
      <c r="A129" s="124"/>
      <c r="B129" s="116"/>
      <c r="C129" s="114"/>
      <c r="D129" s="50" t="s">
        <v>116</v>
      </c>
      <c r="E129" s="38" t="s">
        <v>117</v>
      </c>
      <c r="F129" s="42"/>
      <c r="G129" s="39"/>
      <c r="H129" s="40"/>
    </row>
    <row r="130" spans="1:8">
      <c r="A130" s="124"/>
      <c r="B130" s="116"/>
      <c r="C130" s="112" t="s">
        <v>119</v>
      </c>
      <c r="D130" s="50" t="s">
        <v>120</v>
      </c>
      <c r="E130" s="38" t="s">
        <v>180</v>
      </c>
      <c r="F130" s="42"/>
      <c r="G130" s="39"/>
      <c r="H130" s="40"/>
    </row>
    <row r="131" spans="1:8" ht="63">
      <c r="A131" s="124"/>
      <c r="B131" s="116"/>
      <c r="C131" s="113"/>
      <c r="D131" s="50" t="s">
        <v>181</v>
      </c>
      <c r="E131" s="38" t="s">
        <v>182</v>
      </c>
      <c r="F131" s="42"/>
      <c r="G131" s="39"/>
      <c r="H131" s="40"/>
    </row>
    <row r="132" spans="1:8" ht="110.25">
      <c r="A132" s="124"/>
      <c r="B132" s="116"/>
      <c r="C132" s="113"/>
      <c r="D132" s="50" t="s">
        <v>193</v>
      </c>
      <c r="E132" s="38" t="s">
        <v>194</v>
      </c>
      <c r="F132" s="42"/>
      <c r="G132" s="39"/>
      <c r="H132" s="40"/>
    </row>
    <row r="133" spans="1:8" s="63" customFormat="1" ht="47.25">
      <c r="A133" s="124"/>
      <c r="B133" s="116"/>
      <c r="C133" s="113"/>
      <c r="D133" s="54" t="s">
        <v>128</v>
      </c>
      <c r="E133" s="38" t="s">
        <v>195</v>
      </c>
      <c r="F133" s="42"/>
      <c r="G133" s="68"/>
      <c r="H133" s="40"/>
    </row>
    <row r="134" spans="1:8" ht="110.25">
      <c r="A134" s="124"/>
      <c r="B134" s="116"/>
      <c r="C134" s="113"/>
      <c r="D134" s="54" t="s">
        <v>196</v>
      </c>
      <c r="E134" s="38" t="s">
        <v>197</v>
      </c>
      <c r="F134" s="42"/>
      <c r="G134" s="39"/>
      <c r="H134" s="40"/>
    </row>
    <row r="135" spans="1:8" ht="47.25">
      <c r="A135" s="128"/>
      <c r="B135" s="117"/>
      <c r="C135" s="114"/>
      <c r="D135" s="50" t="s">
        <v>136</v>
      </c>
      <c r="E135" s="38" t="s">
        <v>198</v>
      </c>
      <c r="F135" s="42"/>
      <c r="G135" s="39"/>
      <c r="H135" s="40"/>
    </row>
    <row r="136" spans="1:8">
      <c r="A136" s="80"/>
      <c r="B136" s="78"/>
      <c r="C136" s="77"/>
      <c r="D136" s="50"/>
      <c r="E136" s="38"/>
      <c r="F136" s="42"/>
      <c r="G136" s="39"/>
      <c r="H136" s="40"/>
    </row>
    <row r="137" spans="1:8">
      <c r="A137" s="123"/>
      <c r="B137" s="115" t="s">
        <v>199</v>
      </c>
      <c r="C137" s="77"/>
      <c r="D137" s="50"/>
      <c r="E137" s="38"/>
      <c r="F137" s="42"/>
      <c r="G137" s="39"/>
      <c r="H137" s="40"/>
    </row>
    <row r="138" spans="1:8" ht="47.25">
      <c r="A138" s="124"/>
      <c r="B138" s="116"/>
      <c r="C138" s="112" t="s">
        <v>62</v>
      </c>
      <c r="D138" s="50" t="s">
        <v>63</v>
      </c>
      <c r="E138" s="38" t="s">
        <v>200</v>
      </c>
      <c r="F138" s="42"/>
      <c r="G138" s="39"/>
      <c r="H138" s="40"/>
    </row>
    <row r="139" spans="1:8" ht="47.25">
      <c r="A139" s="124"/>
      <c r="B139" s="116"/>
      <c r="C139" s="113"/>
      <c r="D139" s="50" t="s">
        <v>150</v>
      </c>
      <c r="E139" s="38" t="s">
        <v>113</v>
      </c>
      <c r="F139" s="42"/>
      <c r="G139" s="39"/>
      <c r="H139" s="40"/>
    </row>
    <row r="140" spans="1:8">
      <c r="A140" s="124"/>
      <c r="B140" s="116"/>
      <c r="C140" s="113"/>
      <c r="D140" s="50" t="s">
        <v>114</v>
      </c>
      <c r="E140" s="38" t="s">
        <v>115</v>
      </c>
      <c r="F140" s="42"/>
      <c r="G140" s="39"/>
      <c r="H140" s="40"/>
    </row>
    <row r="141" spans="1:8" ht="31.5">
      <c r="A141" s="124"/>
      <c r="B141" s="116"/>
      <c r="C141" s="114"/>
      <c r="D141" s="50" t="s">
        <v>116</v>
      </c>
      <c r="E141" s="38" t="s">
        <v>117</v>
      </c>
      <c r="F141" s="42"/>
      <c r="G141" s="39"/>
      <c r="H141" s="40"/>
    </row>
    <row r="142" spans="1:8">
      <c r="A142" s="124"/>
      <c r="B142" s="116"/>
      <c r="C142" s="112" t="s">
        <v>119</v>
      </c>
      <c r="D142" s="50" t="s">
        <v>120</v>
      </c>
      <c r="E142" s="38" t="s">
        <v>180</v>
      </c>
      <c r="F142" s="42"/>
      <c r="G142" s="39"/>
      <c r="H142" s="40"/>
    </row>
    <row r="143" spans="1:8" ht="126">
      <c r="A143" s="124"/>
      <c r="B143" s="116"/>
      <c r="C143" s="113"/>
      <c r="D143" s="50" t="s">
        <v>126</v>
      </c>
      <c r="E143" s="38" t="s">
        <v>161</v>
      </c>
      <c r="F143" s="42"/>
      <c r="G143" s="39"/>
      <c r="H143" s="40"/>
    </row>
    <row r="144" spans="1:8">
      <c r="A144" s="124"/>
      <c r="B144" s="116"/>
      <c r="C144" s="113"/>
      <c r="D144" s="54" t="s">
        <v>128</v>
      </c>
      <c r="E144" s="38" t="s">
        <v>201</v>
      </c>
      <c r="F144" s="42"/>
      <c r="G144" s="39"/>
      <c r="H144" s="40"/>
    </row>
    <row r="145" spans="1:8" ht="47.25">
      <c r="A145" s="124"/>
      <c r="B145" s="116"/>
      <c r="C145" s="113"/>
      <c r="D145" s="54" t="s">
        <v>196</v>
      </c>
      <c r="E145" s="38" t="s">
        <v>202</v>
      </c>
      <c r="F145" s="42"/>
      <c r="G145" s="39"/>
      <c r="H145" s="40"/>
    </row>
    <row r="146" spans="1:8" ht="47.25">
      <c r="A146" s="128"/>
      <c r="B146" s="117"/>
      <c r="C146" s="114"/>
      <c r="D146" s="50" t="s">
        <v>136</v>
      </c>
      <c r="E146" s="38" t="s">
        <v>198</v>
      </c>
      <c r="F146" s="42"/>
      <c r="G146" s="39"/>
      <c r="H146" s="40"/>
    </row>
    <row r="147" spans="1:8">
      <c r="A147" s="80"/>
      <c r="B147" s="78"/>
      <c r="C147" s="77"/>
      <c r="D147" s="50"/>
      <c r="E147" s="38"/>
      <c r="F147" s="42"/>
      <c r="G147" s="39"/>
      <c r="H147" s="40"/>
    </row>
    <row r="148" spans="1:8">
      <c r="A148" s="123"/>
      <c r="B148" s="115" t="s">
        <v>203</v>
      </c>
      <c r="C148" s="38"/>
      <c r="D148" s="50"/>
      <c r="E148" s="38"/>
      <c r="F148" s="42"/>
      <c r="G148" s="39"/>
      <c r="H148" s="40"/>
    </row>
    <row r="149" spans="1:8" ht="47.25">
      <c r="A149" s="124"/>
      <c r="B149" s="116"/>
      <c r="C149" s="112" t="s">
        <v>62</v>
      </c>
      <c r="D149" s="50" t="s">
        <v>63</v>
      </c>
      <c r="E149" s="38" t="s">
        <v>204</v>
      </c>
      <c r="F149" s="42"/>
      <c r="G149" s="39"/>
      <c r="H149" s="40"/>
    </row>
    <row r="150" spans="1:8" ht="47.25">
      <c r="A150" s="124"/>
      <c r="B150" s="116"/>
      <c r="C150" s="113"/>
      <c r="D150" s="50" t="s">
        <v>150</v>
      </c>
      <c r="E150" s="38" t="s">
        <v>113</v>
      </c>
      <c r="F150" s="42"/>
      <c r="G150" s="39"/>
      <c r="H150" s="40"/>
    </row>
    <row r="151" spans="1:8">
      <c r="A151" s="124"/>
      <c r="B151" s="116"/>
      <c r="C151" s="113"/>
      <c r="D151" s="50" t="s">
        <v>114</v>
      </c>
      <c r="E151" s="38" t="s">
        <v>115</v>
      </c>
      <c r="F151" s="42"/>
      <c r="G151" s="39"/>
      <c r="H151" s="40"/>
    </row>
    <row r="152" spans="1:8" ht="31.5">
      <c r="A152" s="124"/>
      <c r="B152" s="116"/>
      <c r="C152" s="114"/>
      <c r="D152" s="50" t="s">
        <v>116</v>
      </c>
      <c r="E152" s="38" t="s">
        <v>117</v>
      </c>
      <c r="F152" s="42"/>
      <c r="G152" s="39"/>
      <c r="H152" s="40"/>
    </row>
    <row r="153" spans="1:8">
      <c r="A153" s="124"/>
      <c r="B153" s="116"/>
      <c r="C153" s="112" t="s">
        <v>119</v>
      </c>
      <c r="D153" s="50" t="s">
        <v>120</v>
      </c>
      <c r="E153" s="38" t="s">
        <v>151</v>
      </c>
      <c r="F153" s="42"/>
      <c r="G153" s="39"/>
      <c r="H153" s="40"/>
    </row>
    <row r="154" spans="1:8" ht="126">
      <c r="A154" s="124"/>
      <c r="B154" s="116"/>
      <c r="C154" s="113"/>
      <c r="D154" s="50" t="s">
        <v>126</v>
      </c>
      <c r="E154" s="38" t="s">
        <v>161</v>
      </c>
      <c r="F154" s="42"/>
      <c r="G154" s="39"/>
      <c r="H154" s="40"/>
    </row>
    <row r="155" spans="1:8">
      <c r="A155" s="124"/>
      <c r="B155" s="116"/>
      <c r="C155" s="113"/>
      <c r="D155" s="54" t="s">
        <v>128</v>
      </c>
      <c r="E155" s="38" t="s">
        <v>201</v>
      </c>
      <c r="F155" s="42"/>
      <c r="G155" s="39"/>
      <c r="H155" s="40"/>
    </row>
    <row r="156" spans="1:8" ht="47.25">
      <c r="A156" s="124"/>
      <c r="B156" s="116"/>
      <c r="C156" s="113"/>
      <c r="D156" s="54" t="s">
        <v>196</v>
      </c>
      <c r="E156" s="38" t="s">
        <v>205</v>
      </c>
      <c r="F156" s="42"/>
      <c r="G156" s="39"/>
      <c r="H156" s="40"/>
    </row>
    <row r="157" spans="1:8" ht="47.25">
      <c r="A157" s="128"/>
      <c r="B157" s="117"/>
      <c r="C157" s="114"/>
      <c r="D157" s="50" t="s">
        <v>136</v>
      </c>
      <c r="E157" s="38" t="s">
        <v>198</v>
      </c>
      <c r="F157" s="42"/>
      <c r="G157" s="39"/>
      <c r="H157" s="40"/>
    </row>
    <row r="158" spans="1:8">
      <c r="A158" s="80"/>
      <c r="B158" s="78"/>
      <c r="C158" s="77"/>
      <c r="D158" s="50"/>
      <c r="E158" s="38"/>
      <c r="F158" s="42"/>
      <c r="G158" s="39"/>
      <c r="H158" s="40"/>
    </row>
    <row r="159" spans="1:8">
      <c r="A159" s="123"/>
      <c r="B159" s="115" t="s">
        <v>206</v>
      </c>
      <c r="C159" s="38"/>
      <c r="D159" s="50"/>
      <c r="E159" s="38"/>
      <c r="F159" s="42"/>
      <c r="G159" s="39"/>
      <c r="H159" s="40"/>
    </row>
    <row r="160" spans="1:8" ht="47.25">
      <c r="A160" s="124"/>
      <c r="B160" s="116"/>
      <c r="C160" s="112" t="s">
        <v>62</v>
      </c>
      <c r="D160" s="50" t="s">
        <v>63</v>
      </c>
      <c r="E160" s="38" t="s">
        <v>207</v>
      </c>
      <c r="F160" s="42"/>
      <c r="G160" s="39"/>
      <c r="H160" s="40"/>
    </row>
    <row r="161" spans="1:8" ht="47.25">
      <c r="A161" s="124"/>
      <c r="B161" s="116"/>
      <c r="C161" s="113"/>
      <c r="D161" s="50" t="s">
        <v>150</v>
      </c>
      <c r="E161" s="38" t="s">
        <v>113</v>
      </c>
      <c r="F161" s="42"/>
      <c r="G161" s="39"/>
      <c r="H161" s="40"/>
    </row>
    <row r="162" spans="1:8">
      <c r="A162" s="124"/>
      <c r="B162" s="116"/>
      <c r="C162" s="113"/>
      <c r="D162" s="50" t="s">
        <v>114</v>
      </c>
      <c r="E162" s="38" t="s">
        <v>115</v>
      </c>
      <c r="F162" s="42"/>
      <c r="G162" s="39"/>
      <c r="H162" s="40"/>
    </row>
    <row r="163" spans="1:8" ht="31.5">
      <c r="A163" s="124"/>
      <c r="B163" s="116"/>
      <c r="C163" s="114"/>
      <c r="D163" s="50" t="s">
        <v>116</v>
      </c>
      <c r="E163" s="38" t="s">
        <v>117</v>
      </c>
      <c r="F163" s="42"/>
      <c r="G163" s="39"/>
      <c r="H163" s="40"/>
    </row>
    <row r="164" spans="1:8">
      <c r="A164" s="124"/>
      <c r="B164" s="116"/>
      <c r="C164" s="112" t="s">
        <v>119</v>
      </c>
      <c r="D164" s="50" t="s">
        <v>120</v>
      </c>
      <c r="E164" s="38" t="s">
        <v>151</v>
      </c>
      <c r="F164" s="42"/>
      <c r="G164" s="39"/>
      <c r="H164" s="40"/>
    </row>
    <row r="165" spans="1:8" ht="126">
      <c r="A165" s="124"/>
      <c r="B165" s="116"/>
      <c r="C165" s="113"/>
      <c r="D165" s="50" t="s">
        <v>126</v>
      </c>
      <c r="E165" s="38" t="s">
        <v>161</v>
      </c>
      <c r="F165" s="42"/>
      <c r="G165" s="39"/>
      <c r="H165" s="40"/>
    </row>
    <row r="166" spans="1:8">
      <c r="A166" s="124"/>
      <c r="B166" s="116"/>
      <c r="C166" s="113"/>
      <c r="D166" s="54" t="s">
        <v>128</v>
      </c>
      <c r="E166" s="38" t="s">
        <v>201</v>
      </c>
      <c r="F166" s="42"/>
      <c r="G166" s="39"/>
      <c r="H166" s="40"/>
    </row>
    <row r="167" spans="1:8" ht="47.25">
      <c r="A167" s="124"/>
      <c r="B167" s="116"/>
      <c r="C167" s="113"/>
      <c r="D167" s="54" t="s">
        <v>196</v>
      </c>
      <c r="E167" s="38" t="s">
        <v>208</v>
      </c>
      <c r="F167" s="42"/>
      <c r="G167" s="39"/>
      <c r="H167" s="40"/>
    </row>
    <row r="168" spans="1:8" ht="47.25">
      <c r="A168" s="128"/>
      <c r="B168" s="117"/>
      <c r="C168" s="114"/>
      <c r="D168" s="50" t="s">
        <v>136</v>
      </c>
      <c r="E168" s="38" t="s">
        <v>198</v>
      </c>
      <c r="F168" s="42"/>
      <c r="G168" s="39"/>
      <c r="H168" s="40"/>
    </row>
    <row r="169" spans="1:8">
      <c r="A169" s="80"/>
      <c r="B169" s="78"/>
      <c r="C169" s="77"/>
      <c r="D169" s="50"/>
      <c r="E169" s="38"/>
      <c r="F169" s="42"/>
      <c r="G169" s="39"/>
      <c r="H169" s="40"/>
    </row>
    <row r="170" spans="1:8" ht="47.25" customHeight="1">
      <c r="A170" s="80"/>
      <c r="B170" s="115" t="s">
        <v>209</v>
      </c>
      <c r="C170" s="77"/>
      <c r="D170" s="50"/>
      <c r="E170" s="38"/>
      <c r="F170" s="42"/>
      <c r="G170" s="39"/>
      <c r="H170" s="40"/>
    </row>
    <row r="171" spans="1:8" ht="47.25">
      <c r="A171" s="80"/>
      <c r="B171" s="116"/>
      <c r="C171" s="112" t="s">
        <v>62</v>
      </c>
      <c r="D171" s="50" t="s">
        <v>63</v>
      </c>
      <c r="E171" s="38" t="s">
        <v>210</v>
      </c>
      <c r="F171" s="42"/>
      <c r="G171" s="39"/>
      <c r="H171" s="40"/>
    </row>
    <row r="172" spans="1:8" ht="47.25">
      <c r="A172" s="80"/>
      <c r="B172" s="116"/>
      <c r="C172" s="113"/>
      <c r="D172" s="50" t="s">
        <v>150</v>
      </c>
      <c r="E172" s="38" t="s">
        <v>113</v>
      </c>
      <c r="F172" s="42"/>
      <c r="G172" s="39"/>
      <c r="H172" s="40"/>
    </row>
    <row r="173" spans="1:8">
      <c r="A173" s="80"/>
      <c r="B173" s="116"/>
      <c r="C173" s="113"/>
      <c r="D173" s="50" t="s">
        <v>114</v>
      </c>
      <c r="E173" s="38" t="s">
        <v>115</v>
      </c>
      <c r="F173" s="42"/>
      <c r="G173" s="39"/>
      <c r="H173" s="40"/>
    </row>
    <row r="174" spans="1:8" ht="31.5">
      <c r="A174" s="80"/>
      <c r="B174" s="116"/>
      <c r="C174" s="114"/>
      <c r="D174" s="50" t="s">
        <v>116</v>
      </c>
      <c r="E174" s="38" t="s">
        <v>117</v>
      </c>
      <c r="F174" s="42"/>
      <c r="G174" s="39"/>
      <c r="H174" s="40"/>
    </row>
    <row r="175" spans="1:8">
      <c r="A175" s="80"/>
      <c r="B175" s="116"/>
      <c r="C175" s="112" t="s">
        <v>119</v>
      </c>
      <c r="D175" s="50" t="s">
        <v>120</v>
      </c>
      <c r="E175" s="38" t="s">
        <v>211</v>
      </c>
      <c r="F175" s="42"/>
      <c r="G175" s="39"/>
      <c r="H175" s="40"/>
    </row>
    <row r="176" spans="1:8" ht="126">
      <c r="A176" s="80"/>
      <c r="B176" s="116"/>
      <c r="C176" s="113"/>
      <c r="D176" s="50" t="s">
        <v>212</v>
      </c>
      <c r="E176" s="38" t="s">
        <v>213</v>
      </c>
      <c r="F176" s="42"/>
      <c r="G176" s="39"/>
      <c r="H176" s="40"/>
    </row>
    <row r="177" spans="1:8">
      <c r="A177" s="80"/>
      <c r="B177" s="116"/>
      <c r="C177" s="113"/>
      <c r="D177" s="54" t="s">
        <v>214</v>
      </c>
      <c r="E177" s="38" t="s">
        <v>201</v>
      </c>
      <c r="F177" s="42"/>
      <c r="G177" s="39"/>
      <c r="H177" s="40"/>
    </row>
    <row r="178" spans="1:8" ht="330.75">
      <c r="A178" s="80"/>
      <c r="B178" s="116"/>
      <c r="C178" s="113"/>
      <c r="D178" s="54" t="s">
        <v>215</v>
      </c>
      <c r="E178" s="38" t="s">
        <v>216</v>
      </c>
      <c r="F178" s="42"/>
      <c r="G178" s="39"/>
      <c r="H178" s="40"/>
    </row>
    <row r="179" spans="1:8" ht="47.25">
      <c r="A179" s="80"/>
      <c r="B179" s="117"/>
      <c r="C179" s="114"/>
      <c r="D179" s="50" t="s">
        <v>136</v>
      </c>
      <c r="E179" s="38" t="s">
        <v>198</v>
      </c>
      <c r="F179" s="42"/>
      <c r="G179" s="39"/>
      <c r="H179" s="40"/>
    </row>
    <row r="180" spans="1:8">
      <c r="A180" s="80"/>
      <c r="B180" s="78"/>
      <c r="C180" s="77"/>
      <c r="D180" s="50"/>
      <c r="E180" s="38"/>
      <c r="F180" s="42"/>
      <c r="G180" s="39"/>
      <c r="H180" s="40"/>
    </row>
    <row r="181" spans="1:8">
      <c r="A181" s="80"/>
      <c r="B181" s="115" t="s">
        <v>217</v>
      </c>
      <c r="C181" s="77"/>
      <c r="D181" s="50"/>
      <c r="E181" s="38"/>
      <c r="F181" s="42"/>
      <c r="G181" s="39"/>
      <c r="H181" s="40"/>
    </row>
    <row r="182" spans="1:8" ht="47.25">
      <c r="A182" s="80"/>
      <c r="B182" s="116"/>
      <c r="C182" s="112" t="s">
        <v>62</v>
      </c>
      <c r="D182" s="50" t="s">
        <v>63</v>
      </c>
      <c r="E182" s="38" t="s">
        <v>218</v>
      </c>
      <c r="F182" s="42"/>
      <c r="G182" s="39"/>
      <c r="H182" s="40"/>
    </row>
    <row r="183" spans="1:8" ht="47.25">
      <c r="A183" s="80"/>
      <c r="B183" s="116"/>
      <c r="C183" s="113"/>
      <c r="D183" s="50" t="s">
        <v>150</v>
      </c>
      <c r="E183" s="38" t="s">
        <v>113</v>
      </c>
      <c r="F183" s="42"/>
      <c r="G183" s="39"/>
      <c r="H183" s="40"/>
    </row>
    <row r="184" spans="1:8">
      <c r="A184" s="80"/>
      <c r="B184" s="116"/>
      <c r="C184" s="113"/>
      <c r="D184" s="50" t="s">
        <v>114</v>
      </c>
      <c r="E184" s="38" t="s">
        <v>115</v>
      </c>
      <c r="F184" s="42"/>
      <c r="G184" s="39"/>
      <c r="H184" s="40"/>
    </row>
    <row r="185" spans="1:8" ht="31.5">
      <c r="A185" s="80"/>
      <c r="B185" s="116"/>
      <c r="C185" s="114"/>
      <c r="D185" s="50" t="s">
        <v>116</v>
      </c>
      <c r="E185" s="38" t="s">
        <v>117</v>
      </c>
      <c r="F185" s="42"/>
      <c r="G185" s="39"/>
      <c r="H185" s="40"/>
    </row>
    <row r="186" spans="1:8">
      <c r="A186" s="80"/>
      <c r="B186" s="116"/>
      <c r="C186" s="112" t="s">
        <v>119</v>
      </c>
      <c r="D186" s="50" t="s">
        <v>120</v>
      </c>
      <c r="E186" s="38" t="s">
        <v>211</v>
      </c>
      <c r="F186" s="42"/>
      <c r="G186" s="39"/>
      <c r="H186" s="40"/>
    </row>
    <row r="187" spans="1:8" ht="126">
      <c r="A187" s="80"/>
      <c r="B187" s="116"/>
      <c r="C187" s="113"/>
      <c r="D187" s="50" t="s">
        <v>212</v>
      </c>
      <c r="E187" s="38" t="s">
        <v>213</v>
      </c>
      <c r="F187" s="42"/>
      <c r="G187" s="39"/>
      <c r="H187" s="40"/>
    </row>
    <row r="188" spans="1:8">
      <c r="A188" s="80"/>
      <c r="B188" s="116"/>
      <c r="C188" s="113"/>
      <c r="D188" s="54" t="s">
        <v>214</v>
      </c>
      <c r="E188" s="38" t="s">
        <v>201</v>
      </c>
      <c r="F188" s="42"/>
      <c r="G188" s="39"/>
      <c r="H188" s="40"/>
    </row>
    <row r="189" spans="1:8" ht="47.25">
      <c r="A189" s="80"/>
      <c r="B189" s="116"/>
      <c r="C189" s="113"/>
      <c r="D189" s="54" t="s">
        <v>215</v>
      </c>
      <c r="E189" s="38" t="s">
        <v>219</v>
      </c>
      <c r="F189" s="42"/>
      <c r="G189" s="39"/>
      <c r="H189" s="40"/>
    </row>
    <row r="190" spans="1:8" ht="31.5">
      <c r="A190" s="80"/>
      <c r="B190" s="117"/>
      <c r="C190" s="114"/>
      <c r="D190" s="50" t="s">
        <v>136</v>
      </c>
      <c r="E190" s="38" t="s">
        <v>220</v>
      </c>
      <c r="F190" s="42"/>
      <c r="G190" s="39"/>
      <c r="H190" s="40"/>
    </row>
    <row r="191" spans="1:8">
      <c r="A191" s="80"/>
      <c r="B191" s="78"/>
      <c r="C191" s="77"/>
      <c r="D191" s="50"/>
      <c r="E191" s="38"/>
      <c r="F191" s="42"/>
      <c r="G191" s="39"/>
      <c r="H191" s="40"/>
    </row>
    <row r="192" spans="1:8">
      <c r="A192" s="80"/>
      <c r="B192" s="78"/>
      <c r="C192" s="77"/>
      <c r="D192" s="50"/>
      <c r="E192" s="38"/>
      <c r="F192" s="42"/>
      <c r="G192" s="39"/>
      <c r="H192" s="40"/>
    </row>
    <row r="193" spans="1:8">
      <c r="A193" s="80"/>
      <c r="B193" s="78"/>
      <c r="C193" s="77"/>
      <c r="D193" s="50"/>
      <c r="E193" s="38"/>
      <c r="F193" s="42"/>
      <c r="G193" s="39"/>
      <c r="H193" s="40"/>
    </row>
    <row r="194" spans="1:8">
      <c r="A194" s="80"/>
      <c r="B194" s="78"/>
      <c r="C194" s="77"/>
      <c r="D194" s="50"/>
      <c r="E194" s="38"/>
      <c r="F194" s="42"/>
      <c r="G194" s="39"/>
      <c r="H194" s="40"/>
    </row>
    <row r="195" spans="1:8">
      <c r="A195" s="80"/>
      <c r="B195" s="78"/>
      <c r="C195" s="77"/>
      <c r="D195" s="50"/>
      <c r="E195" s="38"/>
      <c r="F195" s="42"/>
      <c r="G195" s="39"/>
      <c r="H195" s="40"/>
    </row>
    <row r="196" spans="1:8">
      <c r="A196" s="80"/>
      <c r="B196" s="78"/>
      <c r="C196" s="77"/>
      <c r="D196" s="50"/>
      <c r="E196" s="38"/>
      <c r="F196" s="42"/>
      <c r="G196" s="39"/>
      <c r="H196" s="40"/>
    </row>
    <row r="197" spans="1:8">
      <c r="A197" s="80"/>
      <c r="B197" s="78"/>
      <c r="C197" s="77"/>
      <c r="D197" s="50"/>
      <c r="E197" s="38"/>
      <c r="F197" s="42"/>
      <c r="G197" s="39"/>
      <c r="H197" s="40"/>
    </row>
    <row r="198" spans="1:8">
      <c r="A198" s="80"/>
      <c r="B198" s="78"/>
      <c r="C198" s="77"/>
      <c r="D198" s="50"/>
      <c r="E198" s="38"/>
      <c r="F198" s="42"/>
      <c r="G198" s="39"/>
      <c r="H198" s="40"/>
    </row>
    <row r="199" spans="1:8">
      <c r="A199" s="80"/>
      <c r="B199" s="78"/>
      <c r="C199" s="77"/>
      <c r="D199" s="50"/>
      <c r="E199" s="38"/>
      <c r="F199" s="42"/>
      <c r="G199" s="39"/>
      <c r="H199" s="40"/>
    </row>
    <row r="200" spans="1:8">
      <c r="A200" s="80"/>
      <c r="B200" s="78"/>
      <c r="C200" s="77"/>
      <c r="D200" s="50"/>
      <c r="E200" s="38"/>
      <c r="F200" s="42"/>
      <c r="G200" s="39"/>
      <c r="H200" s="40"/>
    </row>
    <row r="201" spans="1:8">
      <c r="A201" s="80"/>
      <c r="B201" s="78"/>
      <c r="C201" s="77"/>
      <c r="D201" s="50"/>
      <c r="E201" s="38"/>
      <c r="F201" s="42"/>
      <c r="G201" s="39"/>
      <c r="H201" s="40"/>
    </row>
    <row r="202" spans="1:8">
      <c r="A202" s="80"/>
      <c r="B202" s="78"/>
      <c r="C202" s="77"/>
      <c r="D202" s="50"/>
      <c r="E202" s="38"/>
      <c r="F202" s="42"/>
      <c r="G202" s="39"/>
      <c r="H202" s="40"/>
    </row>
    <row r="203" spans="1:8">
      <c r="A203" s="80"/>
      <c r="B203" s="78"/>
      <c r="C203" s="77"/>
      <c r="D203" s="50"/>
      <c r="E203" s="38"/>
      <c r="F203" s="42"/>
      <c r="G203" s="39"/>
      <c r="H203" s="40"/>
    </row>
    <row r="204" spans="1:8">
      <c r="A204" s="80"/>
      <c r="B204" s="78"/>
      <c r="C204" s="77"/>
      <c r="D204" s="50"/>
      <c r="E204" s="38"/>
      <c r="F204" s="42"/>
      <c r="G204" s="39"/>
      <c r="H204" s="40"/>
    </row>
    <row r="205" spans="1:8">
      <c r="A205" s="80"/>
      <c r="B205" s="78"/>
      <c r="C205" s="77"/>
      <c r="D205" s="50"/>
      <c r="E205" s="38"/>
      <c r="F205" s="42"/>
      <c r="G205" s="39"/>
      <c r="H205" s="40"/>
    </row>
    <row r="206" spans="1:8">
      <c r="A206" s="80"/>
      <c r="B206" s="78"/>
      <c r="C206" s="77"/>
      <c r="D206" s="50"/>
      <c r="E206" s="38"/>
      <c r="F206" s="42"/>
      <c r="G206" s="39"/>
      <c r="H206" s="40"/>
    </row>
    <row r="207" spans="1:8">
      <c r="A207" s="80"/>
      <c r="B207" s="78"/>
      <c r="C207" s="77"/>
      <c r="D207" s="50"/>
      <c r="E207" s="38"/>
      <c r="F207" s="42"/>
      <c r="G207" s="39"/>
      <c r="H207" s="40"/>
    </row>
    <row r="208" spans="1:8">
      <c r="A208" s="80"/>
      <c r="B208" s="78"/>
      <c r="C208" s="77"/>
      <c r="D208" s="50"/>
      <c r="E208" s="38"/>
      <c r="F208" s="42"/>
      <c r="G208" s="39"/>
      <c r="H208" s="40"/>
    </row>
    <row r="209" spans="1:8">
      <c r="A209" s="80"/>
      <c r="B209" s="78"/>
      <c r="C209" s="77"/>
      <c r="D209" s="50"/>
      <c r="E209" s="38"/>
      <c r="F209" s="42"/>
      <c r="G209" s="39"/>
      <c r="H209" s="40"/>
    </row>
    <row r="210" spans="1:8">
      <c r="A210" s="80"/>
      <c r="B210" s="78"/>
      <c r="C210" s="77"/>
      <c r="D210" s="50"/>
      <c r="E210" s="38"/>
      <c r="F210" s="42"/>
      <c r="G210" s="39"/>
      <c r="H210" s="40"/>
    </row>
    <row r="211" spans="1:8">
      <c r="A211" s="80"/>
      <c r="B211" s="78"/>
      <c r="C211" s="77"/>
      <c r="D211" s="50"/>
      <c r="E211" s="38"/>
      <c r="F211" s="42"/>
      <c r="G211" s="39"/>
      <c r="H211" s="40"/>
    </row>
    <row r="212" spans="1:8" ht="19.5" thickBot="1">
      <c r="A212" s="80"/>
      <c r="B212" s="42"/>
      <c r="C212" s="44"/>
      <c r="D212" s="80"/>
      <c r="E212" s="42"/>
      <c r="F212" s="42"/>
      <c r="G212" s="39"/>
      <c r="H212" s="40"/>
    </row>
    <row r="213" spans="1:8" ht="33.75" customHeight="1" thickBot="1">
      <c r="A213" s="118" t="s">
        <v>19</v>
      </c>
      <c r="B213" s="119"/>
      <c r="C213" s="119"/>
      <c r="D213" s="119"/>
      <c r="E213" s="119"/>
      <c r="F213" s="119"/>
      <c r="G213" s="48"/>
      <c r="H213" s="49">
        <f>SUM(H14:H212)</f>
        <v>0</v>
      </c>
    </row>
    <row r="215" spans="1:8" ht="22.5" customHeight="1"/>
  </sheetData>
  <mergeCells count="63">
    <mergeCell ref="C17:C21"/>
    <mergeCell ref="C22:C23"/>
    <mergeCell ref="C24:C28"/>
    <mergeCell ref="C29:C30"/>
    <mergeCell ref="C31:C33"/>
    <mergeCell ref="A125:A135"/>
    <mergeCell ref="A111:A123"/>
    <mergeCell ref="B111:B123"/>
    <mergeCell ref="C116:C123"/>
    <mergeCell ref="B159:B168"/>
    <mergeCell ref="C164:C168"/>
    <mergeCell ref="A159:A168"/>
    <mergeCell ref="A148:A157"/>
    <mergeCell ref="A137:A146"/>
    <mergeCell ref="C149:C152"/>
    <mergeCell ref="C126:C129"/>
    <mergeCell ref="B125:B135"/>
    <mergeCell ref="C130:C135"/>
    <mergeCell ref="B137:B146"/>
    <mergeCell ref="C138:C141"/>
    <mergeCell ref="C142:C146"/>
    <mergeCell ref="A87:A97"/>
    <mergeCell ref="A99:A109"/>
    <mergeCell ref="C100:C103"/>
    <mergeCell ref="C104:C109"/>
    <mergeCell ref="B99:B109"/>
    <mergeCell ref="B87:B97"/>
    <mergeCell ref="C88:C91"/>
    <mergeCell ref="C92:C97"/>
    <mergeCell ref="A37:A50"/>
    <mergeCell ref="A52:A62"/>
    <mergeCell ref="A64:A74"/>
    <mergeCell ref="A76:A85"/>
    <mergeCell ref="C69:C74"/>
    <mergeCell ref="B52:B62"/>
    <mergeCell ref="C77:C80"/>
    <mergeCell ref="C53:C56"/>
    <mergeCell ref="C57:C62"/>
    <mergeCell ref="B64:B74"/>
    <mergeCell ref="B76:B85"/>
    <mergeCell ref="C81:C85"/>
    <mergeCell ref="A213:F213"/>
    <mergeCell ref="A4:A5"/>
    <mergeCell ref="B4:B5"/>
    <mergeCell ref="A9:A10"/>
    <mergeCell ref="B9:B10"/>
    <mergeCell ref="A13:F13"/>
    <mergeCell ref="C65:C68"/>
    <mergeCell ref="B15:B35"/>
    <mergeCell ref="C38:C41"/>
    <mergeCell ref="C160:C163"/>
    <mergeCell ref="B148:B157"/>
    <mergeCell ref="C153:C157"/>
    <mergeCell ref="A15:A35"/>
    <mergeCell ref="C112:C115"/>
    <mergeCell ref="C42:C50"/>
    <mergeCell ref="B37:B50"/>
    <mergeCell ref="C171:C174"/>
    <mergeCell ref="C175:C179"/>
    <mergeCell ref="B170:B179"/>
    <mergeCell ref="C182:C185"/>
    <mergeCell ref="C186:C190"/>
    <mergeCell ref="B181:B190"/>
  </mergeCells>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workbookViewId="0">
      <selection activeCell="B19" sqref="B19"/>
    </sheetView>
  </sheetViews>
  <sheetFormatPr defaultRowHeight="15"/>
  <cols>
    <col min="1" max="1" width="9.140625" style="17"/>
    <col min="2" max="2" width="238" style="69" customWidth="1"/>
  </cols>
  <sheetData>
    <row r="1" spans="1:4" ht="15.75">
      <c r="A1" s="70" t="s">
        <v>1</v>
      </c>
      <c r="B1" s="100" t="s">
        <v>221</v>
      </c>
      <c r="C1" s="92"/>
      <c r="D1" s="86"/>
    </row>
    <row r="2" spans="1:4">
      <c r="A2" s="17">
        <v>1</v>
      </c>
      <c r="B2" s="69" t="s">
        <v>222</v>
      </c>
    </row>
    <row r="3" spans="1:4">
      <c r="A3" s="17">
        <v>2</v>
      </c>
      <c r="B3" s="69" t="s">
        <v>223</v>
      </c>
    </row>
    <row r="4" spans="1:4">
      <c r="A4" s="17">
        <v>3</v>
      </c>
      <c r="B4" s="69" t="s">
        <v>224</v>
      </c>
    </row>
    <row r="5" spans="1:4">
      <c r="A5" s="17">
        <v>4</v>
      </c>
      <c r="B5" s="69" t="s">
        <v>225</v>
      </c>
    </row>
    <row r="6" spans="1:4">
      <c r="A6" s="17">
        <v>5</v>
      </c>
      <c r="B6" s="69" t="s">
        <v>226</v>
      </c>
    </row>
    <row r="7" spans="1:4">
      <c r="A7" s="17">
        <v>6</v>
      </c>
      <c r="B7" s="69" t="s">
        <v>227</v>
      </c>
    </row>
    <row r="8" spans="1:4" ht="60">
      <c r="A8" s="17">
        <v>7</v>
      </c>
      <c r="B8" s="69" t="s">
        <v>228</v>
      </c>
    </row>
    <row r="9" spans="1:4">
      <c r="A9" s="17">
        <v>8</v>
      </c>
      <c r="B9" s="69" t="s">
        <v>229</v>
      </c>
    </row>
    <row r="10" spans="1:4">
      <c r="A10" s="17">
        <v>9</v>
      </c>
      <c r="B10" s="69" t="s">
        <v>230</v>
      </c>
    </row>
    <row r="11" spans="1:4">
      <c r="A11" s="17">
        <v>10</v>
      </c>
      <c r="B11" s="69" t="s">
        <v>231</v>
      </c>
    </row>
    <row r="12" spans="1:4">
      <c r="A12" s="17">
        <v>11</v>
      </c>
      <c r="B12" s="69" t="s">
        <v>232</v>
      </c>
    </row>
    <row r="13" spans="1:4">
      <c r="A13" s="17">
        <v>12</v>
      </c>
      <c r="B13" s="69" t="s">
        <v>233</v>
      </c>
    </row>
    <row r="14" spans="1:4">
      <c r="A14" s="17">
        <v>13</v>
      </c>
      <c r="B14" s="69" t="s">
        <v>234</v>
      </c>
    </row>
    <row r="15" spans="1:4">
      <c r="A15" s="17">
        <v>14</v>
      </c>
      <c r="B15" s="69" t="s">
        <v>235</v>
      </c>
    </row>
    <row r="16" spans="1:4">
      <c r="A16" s="17">
        <v>15</v>
      </c>
      <c r="B16" s="69" t="s">
        <v>236</v>
      </c>
    </row>
    <row r="17" spans="1:2">
      <c r="A17" s="17">
        <v>16</v>
      </c>
      <c r="B17" s="69" t="s">
        <v>237</v>
      </c>
    </row>
    <row r="18" spans="1:2">
      <c r="A18" s="17">
        <v>17</v>
      </c>
      <c r="B18" s="69" t="s">
        <v>238</v>
      </c>
    </row>
    <row r="19" spans="1:2" ht="30">
      <c r="A19" s="17">
        <v>18</v>
      </c>
      <c r="B19" s="69" t="s">
        <v>239</v>
      </c>
    </row>
    <row r="20" spans="1:2">
      <c r="A20" s="17">
        <v>19</v>
      </c>
      <c r="B20" s="69" t="s">
        <v>240</v>
      </c>
    </row>
    <row r="21" spans="1:2">
      <c r="A21" s="17">
        <v>20</v>
      </c>
      <c r="B21" s="69" t="s">
        <v>241</v>
      </c>
    </row>
    <row r="22" spans="1:2">
      <c r="A22" s="17">
        <v>21</v>
      </c>
      <c r="B22" s="69" t="s">
        <v>242</v>
      </c>
    </row>
    <row r="23" spans="1:2">
      <c r="A23" s="17">
        <v>22</v>
      </c>
      <c r="B23" s="69" t="s">
        <v>243</v>
      </c>
    </row>
    <row r="24" spans="1:2" ht="30">
      <c r="A24" s="17">
        <v>23</v>
      </c>
      <c r="B24" s="69" t="s">
        <v>244</v>
      </c>
    </row>
    <row r="25" spans="1:2">
      <c r="A25" s="17">
        <v>24</v>
      </c>
      <c r="B25" s="69" t="s">
        <v>245</v>
      </c>
    </row>
    <row r="26" spans="1:2" ht="180">
      <c r="A26" s="17">
        <v>25</v>
      </c>
      <c r="B26" s="69" t="s">
        <v>246</v>
      </c>
    </row>
  </sheetData>
  <mergeCells count="1">
    <mergeCell ref="B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
  <sheetViews>
    <sheetView workbookViewId="0">
      <selection activeCell="A3" sqref="A3"/>
    </sheetView>
  </sheetViews>
  <sheetFormatPr defaultRowHeight="15"/>
  <cols>
    <col min="1" max="1" width="19.42578125" bestFit="1" customWidth="1"/>
  </cols>
  <sheetData>
    <row r="1" spans="1:1">
      <c r="A1" t="s">
        <v>247</v>
      </c>
    </row>
    <row r="2" spans="1:1">
      <c r="A2" t="s">
        <v>82</v>
      </c>
    </row>
    <row r="3" spans="1:1">
      <c r="A3"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 Bhavsar</dc:creator>
  <cp:keywords/>
  <dc:description/>
  <cp:lastModifiedBy>Guest User</cp:lastModifiedBy>
  <cp:revision/>
  <dcterms:created xsi:type="dcterms:W3CDTF">2025-12-08T09:56:05Z</dcterms:created>
  <dcterms:modified xsi:type="dcterms:W3CDTF">2026-07-06T10:53:54Z</dcterms:modified>
  <cp:category/>
  <cp:contentStatus/>
</cp:coreProperties>
</file>